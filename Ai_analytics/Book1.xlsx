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Control_Panel" sheetId="1" state="visible" r:id="rId1"/>
    <sheet name="Raw_Data" sheetId="2" state="visible" r:id="rId2"/>
    <sheet name="Mapping_Config" sheetId="3" state="visible" r:id="rId3"/>
    <sheet name="Summary" sheetId="4" state="visible" r:id="rId4"/>
    <sheet name="Python_Cod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mm/dd/yyyy"/>
  </numFmts>
  <fonts count="20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3"/>
      <scheme val="minor"/>
    </font>
    <font>
      <name val="Aptos Narrow"/>
      <family val="2"/>
      <i val="1"/>
      <color rgb="FF375623"/>
      <sz val="10"/>
      <scheme val="minor"/>
    </font>
    <font>
      <name val="Aptos Narrow"/>
      <family val="2"/>
      <b val="1"/>
      <color rgb="FFC00000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rgb="FFFFFFFF"/>
      <sz val="20"/>
      <scheme val="minor"/>
    </font>
    <font>
      <name val="Aptos Narrow"/>
      <family val="2"/>
      <i val="1"/>
      <color rgb="FF1F4E79"/>
      <sz val="11"/>
      <scheme val="minor"/>
    </font>
    <font>
      <name val="Aptos Narrow"/>
      <family val="2"/>
      <b val="1"/>
      <color rgb="FFC55A11"/>
      <sz val="11"/>
      <scheme val="minor"/>
    </font>
    <font>
      <name val="Courier New"/>
      <color rgb="FF00FF88"/>
      <sz val="10"/>
    </font>
    <font>
      <name val="Calibri"/>
      <color rgb="FF000000"/>
      <sz val="10"/>
    </font>
    <font>
      <name val="Calibri"/>
      <color rgb="FFFFFFFF"/>
      <sz val="10"/>
    </font>
    <font>
      <name val="Calibri"/>
      <b val="1"/>
      <color rgb="FFFFFFFF"/>
      <sz val="13"/>
    </font>
    <font>
      <name val="Calibri"/>
      <i val="1"/>
      <color rgb="FFFFFFFF"/>
      <sz val="10"/>
    </font>
    <font>
      <name val="Calibri"/>
      <b val="1"/>
      <color rgb="FF1F4E79"/>
      <sz val="10"/>
    </font>
    <font>
      <name val="Courier New"/>
      <color rgb="FF1E3A5F"/>
      <sz val="9"/>
    </font>
    <font>
      <name val="Calibri"/>
      <b val="1"/>
      <color rgb="FFFFFFFF"/>
      <sz val="10"/>
    </font>
    <font>
      <name val="Calibri"/>
      <color rgb="FF444444"/>
      <sz val="10"/>
    </font>
  </fonts>
  <fills count="19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0F7EC"/>
        <bgColor indexed="64"/>
      </patternFill>
    </fill>
    <fill>
      <patternFill patternType="solid">
        <fgColor rgb="FFFFFFC0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8D7F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4" fontId="0" fillId="4" borderId="0" pivotButton="0" quotePrefix="0" xfId="0"/>
    <xf numFmtId="0" fontId="4" fillId="6" borderId="0" pivotButton="0" quotePrefix="0" xfId="0"/>
    <xf numFmtId="0" fontId="2" fillId="5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0" fontId="5" fillId="7" borderId="0" pivotButton="0" quotePrefix="0" xfId="0"/>
    <xf numFmtId="0" fontId="0" fillId="8" borderId="0" pivotButton="0" quotePrefix="0" xfId="0"/>
    <xf numFmtId="0" fontId="1" fillId="8" borderId="0" pivotButton="0" quotePrefix="0" xfId="0"/>
    <xf numFmtId="0" fontId="0" fillId="4" borderId="0" applyAlignment="1" pivotButton="0" quotePrefix="0" xfId="0">
      <alignment horizontal="center"/>
    </xf>
    <xf numFmtId="0" fontId="5" fillId="4" borderId="0" pivotButton="0" quotePrefix="0" xfId="0"/>
    <xf numFmtId="0" fontId="1" fillId="4" borderId="0" pivotButton="0" quotePrefix="0" xfId="0"/>
    <xf numFmtId="0" fontId="6" fillId="7" borderId="0" pivotButton="0" quotePrefix="0" xfId="0"/>
    <xf numFmtId="0" fontId="6" fillId="4" borderId="0" pivotButton="0" quotePrefix="0" xfId="0"/>
    <xf numFmtId="0" fontId="0" fillId="9" borderId="0" pivotButton="0" quotePrefix="0" xfId="0"/>
    <xf numFmtId="0" fontId="7" fillId="2" borderId="0" pivotButton="0" quotePrefix="0" xfId="0"/>
    <xf numFmtId="0" fontId="1" fillId="9" borderId="0" pivotButton="0" quotePrefix="0" xfId="0"/>
    <xf numFmtId="0" fontId="8" fillId="2" borderId="0" applyAlignment="1" pivotButton="0" quotePrefix="0" xfId="0">
      <alignment horizontal="left"/>
    </xf>
    <xf numFmtId="0" fontId="9" fillId="9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3" fillId="2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0" fillId="12" borderId="0" pivotButton="0" quotePrefix="0" xfId="0"/>
    <xf numFmtId="0" fontId="3" fillId="13" borderId="0" applyAlignment="1" pivotButton="0" quotePrefix="0" xfId="0">
      <alignment horizontal="center"/>
    </xf>
    <xf numFmtId="0" fontId="0" fillId="14" borderId="0" pivotButton="0" quotePrefix="0" xfId="0"/>
    <xf numFmtId="0" fontId="7" fillId="13" borderId="0" pivotButton="0" quotePrefix="0" xfId="0"/>
    <xf numFmtId="0" fontId="11" fillId="15" borderId="0" pivotButton="0" quotePrefix="0" xfId="0"/>
    <xf numFmtId="0" fontId="11" fillId="15" borderId="0" pivotButton="0" quotePrefix="1" xfId="0"/>
    <xf numFmtId="0" fontId="1" fillId="8" borderId="0" applyAlignment="1" pivotButton="0" quotePrefix="0" xfId="0">
      <alignment horizontal="center"/>
    </xf>
    <xf numFmtId="165" fontId="0" fillId="3" borderId="0" pivotButton="0" quotePrefix="0" xfId="0"/>
    <xf numFmtId="165" fontId="0" fillId="4" borderId="0" pivotButton="0" quotePrefix="0" xfId="0"/>
    <xf numFmtId="49" fontId="2" fillId="2" borderId="0" applyAlignment="1" pivotButton="0" quotePrefix="0" xfId="0">
      <alignment horizontal="center"/>
    </xf>
    <xf numFmtId="0" fontId="12" fillId="0" borderId="0" applyAlignment="1" pivotButton="0" quotePrefix="0" xfId="0">
      <alignment wrapText="1"/>
    </xf>
    <xf numFmtId="0" fontId="14" fillId="2" borderId="0" applyAlignment="1" pivotButton="0" quotePrefix="0" xfId="0">
      <alignment horizontal="left" wrapText="1"/>
    </xf>
    <xf numFmtId="0" fontId="14" fillId="2" borderId="0" applyAlignment="1" pivotButton="0" quotePrefix="0" xfId="0">
      <alignment wrapText="1"/>
    </xf>
    <xf numFmtId="0" fontId="15" fillId="16" borderId="0" applyAlignment="1" pivotButton="0" quotePrefix="0" xfId="0">
      <alignment wrapText="1"/>
    </xf>
    <xf numFmtId="0" fontId="13" fillId="16" borderId="0" applyAlignment="1" pivotButton="0" quotePrefix="0" xfId="0">
      <alignment wrapText="1"/>
    </xf>
    <xf numFmtId="0" fontId="16" fillId="17" borderId="0" applyAlignment="1" pivotButton="0" quotePrefix="0" xfId="0">
      <alignment wrapText="1"/>
    </xf>
    <xf numFmtId="0" fontId="17" fillId="18" borderId="0" applyAlignment="1" pivotButton="0" quotePrefix="0" xfId="0">
      <alignment wrapText="1"/>
    </xf>
    <xf numFmtId="0" fontId="17" fillId="18" borderId="0" applyAlignment="1" pivotButton="0" quotePrefix="1" xfId="0">
      <alignment wrapText="1"/>
    </xf>
    <xf numFmtId="0" fontId="18" fillId="2" borderId="0" applyAlignment="1" pivotButton="0" quotePrefix="0" xfId="0">
      <alignment wrapText="1"/>
    </xf>
    <xf numFmtId="0" fontId="12" fillId="4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6" fillId="3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3" fillId="5" borderId="0" applyAlignment="1" pivotButton="0" quotePrefix="0" xfId="0">
      <alignment horizontal="left"/>
    </xf>
    <xf numFmtId="0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</cellXfs>
  <cellStyles count="1">
    <cellStyle name="Normal" xfId="0" builtinId="0"/>
  </cellStyles>
  <dxfs count="10">
    <dxf>
      <fill>
        <patternFill patternType="solid">
          <fgColor indexed="64"/>
          <bgColor rgb="FFFFFFFF"/>
        </patternFill>
      </fill>
    </dxf>
    <dxf>
      <numFmt numFmtId="164" formatCode="&quot;₹&quot;#,##0.00"/>
      <fill>
        <patternFill patternType="solid">
          <fgColor indexed="64"/>
          <bgColor rgb="FFFFFFFF"/>
        </patternFill>
      </fill>
    </dxf>
    <dxf>
      <numFmt numFmtId="164" formatCode="&quot;₹&quot;#,##0.00"/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numFmt numFmtId="167" formatCode="mm/dd/yyyy"/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name val="Aptos Narrow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  <scheme val="minor"/>
      </font>
      <fill>
        <patternFill patternType="solid">
          <fgColor indexed="64"/>
          <bgColor rgb="FF1F4E79"/>
        </patternFill>
      </fill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awDataTable" displayName="RawDataTable" ref="A1:H62" headerRowCount="1" totalsRowShown="0" headerRowDxfId="9" dataDxfId="8">
  <autoFilter ref="A1:H62"/>
  <tableColumns count="8">
    <tableColumn id="1" name="Date" dataDxfId="7"/>
    <tableColumn id="2" name="Product" dataDxfId="6"/>
    <tableColumn id="3" name="Category" dataDxfId="5"/>
    <tableColumn id="4" name="Region" dataDxfId="4"/>
    <tableColumn id="5" name="Units_Sold" dataDxfId="3"/>
    <tableColumn id="6" name="Revenue" dataDxfId="2"/>
    <tableColumn id="7" name="Cost" dataDxfId="1"/>
    <tableColumn id="8" name="Customer_Segme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rgb="FFC55A11"/>
    <outlinePr summaryBelow="1" summaryRight="1"/>
    <pageSetUpPr/>
  </sheetPr>
  <dimension ref="B2:F32"/>
  <sheetViews>
    <sheetView showGridLines="0" topLeftCell="A15" workbookViewId="0">
      <selection activeCell="B29" sqref="B29"/>
    </sheetView>
  </sheetViews>
  <sheetFormatPr baseColWidth="8" defaultRowHeight="14.4"/>
  <cols>
    <col width="3.6640625" customWidth="1" style="56" min="1" max="1"/>
    <col width="107.44140625" customWidth="1" style="56" min="2" max="2"/>
    <col width="3.6640625" customWidth="1" style="56" min="4" max="4"/>
    <col width="37" customWidth="1" style="56" min="5" max="5"/>
    <col width="27.77734375" customWidth="1" style="56" min="6" max="6"/>
  </cols>
  <sheetData>
    <row r="2" ht="46.05" customHeight="1" s="56">
      <c r="B2" s="21" t="inlineStr">
        <is>
          <t>🤖  AI-POWERED ANALYTICS ENGINE — CONTROL PANEL</t>
        </is>
      </c>
    </row>
    <row r="3" ht="22.05" customHeight="1" s="56">
      <c r="B3" s="22" t="inlineStr">
        <is>
          <t>Enterprise reporting | pandas analytics | AI-generated insights | Auto-updating dashboard</t>
        </is>
      </c>
    </row>
    <row r="5" ht="28.05" customHeight="1" s="56">
      <c r="B5" s="23" t="inlineStr">
        <is>
          <t>📋  WORKFLOW — HOW TO USE THIS SYSTEM</t>
        </is>
      </c>
      <c r="C5" s="24" t="n"/>
      <c r="E5" s="19" t="inlineStr">
        <is>
          <t>📊  LIVE SYSTEM STATUS</t>
        </is>
      </c>
      <c r="F5" s="24" t="n"/>
    </row>
    <row r="6" ht="25.95" customHeight="1" s="56">
      <c r="B6" s="25" t="inlineStr">
        <is>
          <t>STEP 1</t>
        </is>
      </c>
      <c r="C6" s="26" t="inlineStr">
        <is>
          <t>📂  Upload / paste your CSV into Raw_Data sheet (replace sample rows, keep or update headers)</t>
        </is>
      </c>
      <c r="E6" s="20" t="inlineStr">
        <is>
          <t>Raw Data Rows</t>
        </is>
      </c>
      <c r="F6" s="38">
        <f>COUNTA(Raw_Data!A:A)-1</f>
        <v/>
      </c>
    </row>
    <row r="7" ht="25.95" customHeight="1" s="56">
      <c r="B7" s="25" t="inlineStr">
        <is>
          <t>STEP 2</t>
        </is>
      </c>
      <c r="C7" s="26" t="inlineStr">
        <is>
          <t>⚙️  Go to Mapping_Config → use yellow dropdowns in column B to map columns to system fields</t>
        </is>
      </c>
      <c r="E7" s="15" t="inlineStr">
        <is>
          <t>Raw Data Columns</t>
        </is>
      </c>
      <c r="F7" s="38">
        <f>COUNTA(Raw_Data!1:1)</f>
        <v/>
      </c>
    </row>
    <row r="8" ht="25.95" customHeight="1" s="56">
      <c r="B8" s="25" t="inlineStr">
        <is>
          <t>STEP 3</t>
        </is>
      </c>
      <c r="C8" s="26" t="inlineStr">
        <is>
          <t>🔧  Set Analysis Settings in Mapping_Config (threshold, GPT toggle, output path)</t>
        </is>
      </c>
      <c r="E8" s="20" t="inlineStr">
        <is>
          <t>Mapped Fields</t>
        </is>
      </c>
      <c r="F8" s="38">
        <f>COUNTIF(Mapping_Config!F5:F12,"✅ Mapped")</f>
        <v/>
      </c>
    </row>
    <row r="9" ht="25.95" customHeight="1" s="56">
      <c r="B9" s="25" t="inlineStr">
        <is>
          <t>STEP 4</t>
        </is>
      </c>
      <c r="C9" s="26" t="inlineStr">
        <is>
          <t>▶️  Run: python analytics_engine.py  (from terminal or via .bat / shell script)</t>
        </is>
      </c>
      <c r="E9" s="15" t="inlineStr">
        <is>
          <t>Unmapped Required</t>
        </is>
      </c>
      <c r="F9" s="38">
        <f>COUNTIFS(Mapping_Config!F5:F8,"⚠️ Not Set")</f>
        <v/>
      </c>
    </row>
    <row r="10" ht="25.95" customHeight="1" s="56">
      <c r="B10" s="25" t="inlineStr">
        <is>
          <t>STEP 5</t>
        </is>
      </c>
      <c r="C10" s="26" t="inlineStr">
        <is>
          <t>📊  Results auto-populate in Summary sheet — KPIs, trends, AI insights, charts</t>
        </is>
      </c>
      <c r="E10" s="20" t="inlineStr">
        <is>
          <t>GPT Insights</t>
        </is>
      </c>
      <c r="F10" s="38">
        <f>Mapping_Config!B19</f>
        <v/>
      </c>
    </row>
    <row r="11">
      <c r="E11" s="15" t="inlineStr">
        <is>
          <t>Email Enabled</t>
        </is>
      </c>
      <c r="F11" s="38">
        <f>Mapping_Config!B22</f>
        <v/>
      </c>
    </row>
    <row r="12" ht="10.05" customHeight="1" s="56">
      <c r="E12" s="20" t="inlineStr">
        <is>
          <t>Analysis Status</t>
        </is>
      </c>
      <c r="F12" s="38" t="inlineStr">
        <is>
          <t>⏳ Awaiting run...</t>
        </is>
      </c>
    </row>
    <row r="13" ht="30" customHeight="1" s="56">
      <c r="B13" s="27" t="inlineStr">
        <is>
          <t>📌  QUICK COMMANDS</t>
        </is>
      </c>
      <c r="C13" s="28" t="n"/>
      <c r="E13" s="15" t="inlineStr">
        <is>
          <t>Last Updated</t>
        </is>
      </c>
      <c r="F13" s="38" t="inlineStr">
        <is>
          <t>—</t>
        </is>
      </c>
    </row>
    <row r="15" ht="37.95" customHeight="1" s="56">
      <c r="B15" s="27" t="inlineStr">
        <is>
          <t>▶  RUN ANALYSIS  →  python analytics_engine.py</t>
        </is>
      </c>
      <c r="C15" s="29" t="inlineStr">
        <is>
          <t>Cleans data, runs trends, generates insights, updates Summary sheet</t>
        </is>
      </c>
    </row>
    <row r="17" ht="37.95" customHeight="1" s="56">
      <c r="B17" s="30" t="inlineStr">
        <is>
          <t>📄  GENERATE REPORT  →  python analytics_engine.py --report</t>
        </is>
      </c>
      <c r="C17" s="18" t="inlineStr">
        <is>
          <t>Saves PDF + CSV summary to output/ folder</t>
        </is>
      </c>
    </row>
    <row r="19" ht="37.95" customHeight="1" s="56">
      <c r="B19" s="31" t="inlineStr">
        <is>
          <t>📧  EMAIL REPORT  →  python analytics_engine.py --email</t>
        </is>
      </c>
      <c r="C19" s="32" t="inlineStr">
        <is>
          <t>Sends formatted HTML email to recipients in Mapping_Config</t>
        </is>
      </c>
    </row>
    <row r="21" ht="37.95" customHeight="1" s="56">
      <c r="B21" s="33" t="inlineStr">
        <is>
          <t>🔁  SCHEDULE DAILY  →  python analytics_engine.py --schedule</t>
        </is>
      </c>
      <c r="C21" s="34" t="inlineStr">
        <is>
          <t>Sets up cron/Task Scheduler for automatic daily runs at 08:00</t>
        </is>
      </c>
    </row>
    <row r="23" ht="28.05" customHeight="1" s="56">
      <c r="B23" s="35" t="inlineStr">
        <is>
          <t>🔗  VBA MACRO — Assign to Excel button (Alt+F11 → Insert Module)</t>
        </is>
      </c>
    </row>
    <row r="24" ht="18" customHeight="1" s="56">
      <c r="B24" s="36" t="inlineStr">
        <is>
          <t>Sub RunAnalysis()</t>
        </is>
      </c>
    </row>
    <row r="25" ht="18" customHeight="1" s="56">
      <c r="B25" s="36" t="inlineStr">
        <is>
          <t xml:space="preserve">  Shell "cmd /c cd /d C:\YourProject &amp;&amp; python analytics_engine.py", vbHide</t>
        </is>
      </c>
    </row>
    <row r="26" ht="18" customHeight="1" s="56">
      <c r="B26" s="36" t="inlineStr">
        <is>
          <t>End Sub</t>
        </is>
      </c>
    </row>
    <row r="27" ht="18" customHeight="1" s="56">
      <c r="B27" s="36" t="n"/>
    </row>
    <row r="28" ht="18" customHeight="1" s="56">
      <c r="B28" s="36" t="inlineStr">
        <is>
          <t>Sub GenerateReport()</t>
        </is>
      </c>
    </row>
    <row r="29" ht="18" customHeight="1" s="56">
      <c r="B29" s="36" t="inlineStr">
        <is>
          <t xml:space="preserve">  Shell "cmd /c cd /d C:\YourProject &amp;&amp; python analytics_engine.py --report", vbHide</t>
        </is>
      </c>
    </row>
    <row r="30" ht="18" customHeight="1" s="56">
      <c r="B30" s="36" t="inlineStr">
        <is>
          <t>End Sub</t>
        </is>
      </c>
    </row>
    <row r="31" ht="18" customHeight="1" s="56">
      <c r="B31" s="36" t="n"/>
    </row>
    <row r="32" ht="18" customHeight="1" s="56">
      <c r="B32" s="37" t="inlineStr">
        <is>
          <t xml:space="preserve"> Mac: use AppleScript  →  do shell script "cd ~/YourProject &amp;&amp; python3 analytics_engine.py"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tabColor rgb="FF1F4E79"/>
    <outlinePr summaryBelow="1" summaryRight="1"/>
    <pageSetUpPr/>
  </sheetPr>
  <dimension ref="A1:H62"/>
  <sheetViews>
    <sheetView tabSelected="1" workbookViewId="0">
      <pane ySplit="1" topLeftCell="A48" activePane="bottomLeft" state="frozen"/>
      <selection pane="bottomLeft" activeCell="H62" sqref="H62"/>
    </sheetView>
  </sheetViews>
  <sheetFormatPr baseColWidth="8" defaultRowHeight="14.4"/>
  <cols>
    <col width="22.21875" customWidth="1" style="56" min="1" max="1"/>
    <col width="25.88671875" customWidth="1" style="56" min="2" max="2"/>
    <col width="27.77734375" customWidth="1" style="56" min="3" max="3"/>
    <col width="16.6640625" customWidth="1" style="56" min="4" max="5"/>
    <col width="20.33203125" customWidth="1" style="56" min="6" max="7"/>
    <col width="24.109375" customWidth="1" style="56" min="8" max="8"/>
  </cols>
  <sheetData>
    <row r="1" ht="28.05" customHeight="1" s="56">
      <c r="A1" s="4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Units_Sold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Customer_Segment</t>
        </is>
      </c>
    </row>
    <row r="2">
      <c r="A2" s="57" t="n">
        <v>45292</v>
      </c>
      <c r="B2" s="2" t="inlineStr">
        <is>
          <t>Laptop</t>
        </is>
      </c>
      <c r="C2" s="2" t="inlineStr">
        <is>
          <t>Electronics</t>
        </is>
      </c>
      <c r="D2" s="2" t="inlineStr">
        <is>
          <t>North</t>
        </is>
      </c>
      <c r="E2" s="2" t="n">
        <v>10</v>
      </c>
      <c r="F2" s="4" t="n">
        <v>200</v>
      </c>
      <c r="G2" s="4" t="n">
        <v>90</v>
      </c>
      <c r="H2" s="2" t="inlineStr">
        <is>
          <t>Retail</t>
        </is>
      </c>
    </row>
    <row r="3">
      <c r="A3" s="58" t="n">
        <v>45293</v>
      </c>
      <c r="B3" s="3" t="inlineStr">
        <is>
          <t>Sneakers</t>
        </is>
      </c>
      <c r="C3" s="3" t="inlineStr">
        <is>
          <t>Apparel</t>
        </is>
      </c>
      <c r="D3" s="3" t="inlineStr">
        <is>
          <t>South</t>
        </is>
      </c>
      <c r="E3" s="3" t="n">
        <v>17</v>
      </c>
      <c r="F3" s="5" t="n">
        <v>561</v>
      </c>
      <c r="G3" s="5" t="n">
        <v>258.06</v>
      </c>
      <c r="H3" s="3" t="inlineStr">
        <is>
          <t>Wholesale</t>
        </is>
      </c>
    </row>
    <row r="4">
      <c r="A4" s="57" t="n">
        <v>45294</v>
      </c>
      <c r="B4" s="2" t="inlineStr">
        <is>
          <t>Garden Tools</t>
        </is>
      </c>
      <c r="C4" s="2" t="inlineStr">
        <is>
          <t>Home &amp; Garden</t>
        </is>
      </c>
      <c r="D4" s="2" t="inlineStr">
        <is>
          <t>East</t>
        </is>
      </c>
      <c r="E4" s="2" t="n">
        <v>24</v>
      </c>
      <c r="F4" s="4" t="n">
        <v>1104</v>
      </c>
      <c r="G4" s="4" t="n">
        <v>518.88</v>
      </c>
      <c r="H4" s="2" t="inlineStr">
        <is>
          <t>Online</t>
        </is>
      </c>
    </row>
    <row r="5">
      <c r="A5" s="58" t="n">
        <v>45295</v>
      </c>
      <c r="B5" s="3" t="inlineStr">
        <is>
          <t>Treadmill</t>
        </is>
      </c>
      <c r="C5" s="3" t="inlineStr">
        <is>
          <t>Sports</t>
        </is>
      </c>
      <c r="D5" s="3" t="inlineStr">
        <is>
          <t>West</t>
        </is>
      </c>
      <c r="E5" s="3" t="n">
        <v>31</v>
      </c>
      <c r="F5" s="5" t="n">
        <v>1829</v>
      </c>
      <c r="G5" s="5" t="n">
        <v>877.92</v>
      </c>
      <c r="H5" s="3" t="inlineStr">
        <is>
          <t>Retail</t>
        </is>
      </c>
    </row>
    <row r="6">
      <c r="A6" s="57" t="n">
        <v>45296</v>
      </c>
      <c r="B6" s="2" t="inlineStr">
        <is>
          <t>Laptop</t>
        </is>
      </c>
      <c r="C6" s="2" t="inlineStr">
        <is>
          <t>Electronics</t>
        </is>
      </c>
      <c r="D6" s="2" t="inlineStr">
        <is>
          <t>North</t>
        </is>
      </c>
      <c r="E6" s="2" t="n">
        <v>38</v>
      </c>
      <c r="F6" s="4" t="n">
        <v>2736</v>
      </c>
      <c r="G6" s="4" t="n">
        <v>1340.64</v>
      </c>
      <c r="H6" s="2" t="inlineStr">
        <is>
          <t>Wholesale</t>
        </is>
      </c>
    </row>
    <row r="7">
      <c r="A7" s="58" t="n">
        <v>45328</v>
      </c>
      <c r="B7" s="3" t="inlineStr">
        <is>
          <t>Sneakers</t>
        </is>
      </c>
      <c r="C7" s="3" t="inlineStr">
        <is>
          <t>Apparel</t>
        </is>
      </c>
      <c r="D7" s="3" t="inlineStr">
        <is>
          <t>South</t>
        </is>
      </c>
      <c r="E7" s="3" t="n">
        <v>45</v>
      </c>
      <c r="F7" s="5" t="n">
        <v>3825</v>
      </c>
      <c r="G7" s="5" t="n">
        <v>1912.5</v>
      </c>
      <c r="H7" s="3" t="inlineStr">
        <is>
          <t>Online</t>
        </is>
      </c>
    </row>
    <row r="8">
      <c r="A8" s="57" t="n">
        <v>45329</v>
      </c>
      <c r="B8" s="2" t="inlineStr">
        <is>
          <t>Garden Tools</t>
        </is>
      </c>
      <c r="C8" s="2" t="inlineStr">
        <is>
          <t>Home &amp; Garden</t>
        </is>
      </c>
      <c r="D8" s="2" t="inlineStr">
        <is>
          <t>East</t>
        </is>
      </c>
      <c r="E8" s="2" t="n">
        <v>52</v>
      </c>
      <c r="F8" s="4" t="n">
        <v>5096</v>
      </c>
      <c r="G8" s="4" t="n">
        <v>2598.96</v>
      </c>
      <c r="H8" s="2" t="inlineStr">
        <is>
          <t>Retail</t>
        </is>
      </c>
    </row>
    <row r="9">
      <c r="A9" s="58" t="n">
        <v>45330</v>
      </c>
      <c r="B9" s="3" t="inlineStr">
        <is>
          <t>Treadmill</t>
        </is>
      </c>
      <c r="C9" s="3" t="inlineStr">
        <is>
          <t>Sports</t>
        </is>
      </c>
      <c r="D9" s="3" t="inlineStr">
        <is>
          <t>West</t>
        </is>
      </c>
      <c r="E9" s="3" t="n">
        <v>59</v>
      </c>
      <c r="F9" s="5" t="n">
        <v>6549</v>
      </c>
      <c r="G9" s="5" t="n">
        <v>3405.48</v>
      </c>
      <c r="H9" s="3" t="inlineStr">
        <is>
          <t>Wholesale</t>
        </is>
      </c>
    </row>
    <row r="10">
      <c r="A10" s="57" t="n">
        <v>45331</v>
      </c>
      <c r="B10" s="2" t="inlineStr">
        <is>
          <t>Laptop</t>
        </is>
      </c>
      <c r="C10" s="2" t="inlineStr">
        <is>
          <t>Electronics</t>
        </is>
      </c>
      <c r="D10" s="2" t="inlineStr">
        <is>
          <t>North</t>
        </is>
      </c>
      <c r="E10" s="2" t="n">
        <v>66</v>
      </c>
      <c r="F10" s="4" t="n">
        <v>8184</v>
      </c>
      <c r="G10" s="4" t="n">
        <v>4337.52</v>
      </c>
      <c r="H10" s="2" t="inlineStr">
        <is>
          <t>Online</t>
        </is>
      </c>
    </row>
    <row r="11">
      <c r="A11" s="58" t="n">
        <v>45332</v>
      </c>
      <c r="B11" s="3" t="inlineStr">
        <is>
          <t>Sneakers</t>
        </is>
      </c>
      <c r="C11" s="3" t="inlineStr">
        <is>
          <t>Apparel</t>
        </is>
      </c>
      <c r="D11" s="3" t="inlineStr">
        <is>
          <t>South</t>
        </is>
      </c>
      <c r="E11" s="3" t="n">
        <v>73</v>
      </c>
      <c r="F11" s="5" t="n">
        <v>10001</v>
      </c>
      <c r="G11" s="5" t="n">
        <v>5400.54</v>
      </c>
      <c r="H11" s="3" t="inlineStr">
        <is>
          <t>Retail</t>
        </is>
      </c>
    </row>
    <row r="12">
      <c r="A12" s="57" t="n">
        <v>45362</v>
      </c>
      <c r="B12" s="2" t="inlineStr">
        <is>
          <t>Garden Tools</t>
        </is>
      </c>
      <c r="C12" s="2" t="inlineStr">
        <is>
          <t>Home &amp; Garden</t>
        </is>
      </c>
      <c r="D12" s="2" t="inlineStr">
        <is>
          <t>East</t>
        </is>
      </c>
      <c r="E12" s="2" t="n">
        <v>80</v>
      </c>
      <c r="F12" s="4" t="n">
        <v>15600</v>
      </c>
      <c r="G12" s="4" t="n">
        <v>8580</v>
      </c>
      <c r="H12" s="2" t="inlineStr">
        <is>
          <t>Wholesale</t>
        </is>
      </c>
    </row>
    <row r="13">
      <c r="A13" s="58" t="n">
        <v>45363</v>
      </c>
      <c r="B13" s="3" t="inlineStr">
        <is>
          <t>Treadmill</t>
        </is>
      </c>
      <c r="C13" s="3" t="inlineStr">
        <is>
          <t>Sports</t>
        </is>
      </c>
      <c r="D13" s="3" t="inlineStr">
        <is>
          <t>West</t>
        </is>
      </c>
      <c r="E13" s="3" t="n">
        <v>87</v>
      </c>
      <c r="F13" s="5" t="n">
        <v>18435.3</v>
      </c>
      <c r="G13" s="5" t="n">
        <v>10323.77</v>
      </c>
      <c r="H13" s="3" t="inlineStr">
        <is>
          <t>Online</t>
        </is>
      </c>
    </row>
    <row r="14">
      <c r="A14" s="57" t="n">
        <v>45364</v>
      </c>
      <c r="B14" s="2" t="inlineStr">
        <is>
          <t>Laptop</t>
        </is>
      </c>
      <c r="C14" s="2" t="inlineStr">
        <is>
          <t>Electronics</t>
        </is>
      </c>
      <c r="D14" s="2" t="inlineStr">
        <is>
          <t>North</t>
        </is>
      </c>
      <c r="E14" s="2" t="n">
        <v>94</v>
      </c>
      <c r="F14" s="4" t="n">
        <v>21507.2</v>
      </c>
      <c r="G14" s="4" t="n">
        <v>12259.1</v>
      </c>
      <c r="H14" s="2" t="inlineStr">
        <is>
          <t>Retail</t>
        </is>
      </c>
    </row>
    <row r="15">
      <c r="A15" s="58" t="n">
        <v>45365</v>
      </c>
      <c r="B15" s="3" t="inlineStr">
        <is>
          <t>Sneakers</t>
        </is>
      </c>
      <c r="C15" s="3" t="inlineStr">
        <is>
          <t>Apparel</t>
        </is>
      </c>
      <c r="D15" s="3" t="inlineStr">
        <is>
          <t>South</t>
        </is>
      </c>
      <c r="E15" s="3" t="n">
        <v>11</v>
      </c>
      <c r="F15" s="5" t="n">
        <v>2702.7</v>
      </c>
      <c r="G15" s="5" t="n">
        <v>1567.57</v>
      </c>
      <c r="H15" s="3" t="inlineStr">
        <is>
          <t>Wholesale</t>
        </is>
      </c>
    </row>
    <row r="16">
      <c r="A16" s="57" t="n">
        <v>45366</v>
      </c>
      <c r="B16" s="2" t="inlineStr">
        <is>
          <t>Garden Tools</t>
        </is>
      </c>
      <c r="C16" s="2" t="inlineStr">
        <is>
          <t>Home &amp; Garden</t>
        </is>
      </c>
      <c r="D16" s="2" t="inlineStr">
        <is>
          <t>East</t>
        </is>
      </c>
      <c r="E16" s="2" t="n">
        <v>18</v>
      </c>
      <c r="F16" s="4" t="n">
        <v>4726.8</v>
      </c>
      <c r="G16" s="4" t="n">
        <v>2788.81</v>
      </c>
      <c r="H16" s="2" t="inlineStr">
        <is>
          <t>Online</t>
        </is>
      </c>
    </row>
    <row r="17">
      <c r="A17" s="58" t="n">
        <v>45398</v>
      </c>
      <c r="B17" s="3" t="inlineStr">
        <is>
          <t>Treadmill</t>
        </is>
      </c>
      <c r="C17" s="3" t="inlineStr">
        <is>
          <t>Sports</t>
        </is>
      </c>
      <c r="D17" s="3" t="inlineStr">
        <is>
          <t>West</t>
        </is>
      </c>
      <c r="E17" s="3" t="n">
        <v>25</v>
      </c>
      <c r="F17" s="5" t="n">
        <v>5375</v>
      </c>
      <c r="G17" s="5" t="n">
        <v>3225</v>
      </c>
      <c r="H17" s="3" t="inlineStr">
        <is>
          <t>Retail</t>
        </is>
      </c>
    </row>
    <row r="18">
      <c r="A18" s="57" t="n">
        <v>45399</v>
      </c>
      <c r="B18" s="2" t="inlineStr">
        <is>
          <t>Laptop</t>
        </is>
      </c>
      <c r="C18" s="2" t="inlineStr">
        <is>
          <t>Electronics</t>
        </is>
      </c>
      <c r="D18" s="2" t="inlineStr">
        <is>
          <t>North</t>
        </is>
      </c>
      <c r="E18" s="2" t="n">
        <v>32</v>
      </c>
      <c r="F18" s="4" t="n">
        <v>896</v>
      </c>
      <c r="G18" s="4" t="n">
        <v>546.5599999999999</v>
      </c>
      <c r="H18" s="2" t="inlineStr">
        <is>
          <t>Wholesale</t>
        </is>
      </c>
    </row>
    <row r="19">
      <c r="A19" s="58" t="n">
        <v>45400</v>
      </c>
      <c r="B19" s="3" t="inlineStr">
        <is>
          <t>Sneakers</t>
        </is>
      </c>
      <c r="C19" s="3" t="inlineStr">
        <is>
          <t>Apparel</t>
        </is>
      </c>
      <c r="D19" s="3" t="inlineStr">
        <is>
          <t>South</t>
        </is>
      </c>
      <c r="E19" s="3" t="n">
        <v>39</v>
      </c>
      <c r="F19" s="5" t="n">
        <v>1599</v>
      </c>
      <c r="G19" s="5" t="n">
        <v>991.38</v>
      </c>
      <c r="H19" s="3" t="inlineStr">
        <is>
          <t>Online</t>
        </is>
      </c>
    </row>
    <row r="20">
      <c r="A20" s="57" t="n">
        <v>45401</v>
      </c>
      <c r="B20" s="2" t="inlineStr">
        <is>
          <t>Garden Tools</t>
        </is>
      </c>
      <c r="C20" s="2" t="inlineStr">
        <is>
          <t>Home &amp; Garden</t>
        </is>
      </c>
      <c r="D20" s="2" t="inlineStr">
        <is>
          <t>East</t>
        </is>
      </c>
      <c r="E20" s="2" t="n">
        <v>46</v>
      </c>
      <c r="F20" s="4" t="n">
        <v>2484</v>
      </c>
      <c r="G20" s="4" t="n">
        <v>1564.92</v>
      </c>
      <c r="H20" s="2" t="inlineStr">
        <is>
          <t>Retail</t>
        </is>
      </c>
    </row>
    <row r="21">
      <c r="A21" s="58" t="n">
        <v>45402</v>
      </c>
      <c r="B21" s="3" t="inlineStr">
        <is>
          <t>Treadmill</t>
        </is>
      </c>
      <c r="C21" s="3" t="inlineStr">
        <is>
          <t>Sports</t>
        </is>
      </c>
      <c r="D21" s="3" t="inlineStr">
        <is>
          <t>West</t>
        </is>
      </c>
      <c r="E21" s="3" t="n">
        <v>53</v>
      </c>
      <c r="F21" s="5" t="n">
        <v>3551</v>
      </c>
      <c r="G21" s="5" t="n">
        <v>2272.64</v>
      </c>
      <c r="H21" s="3" t="inlineStr">
        <is>
          <t>Wholesale</t>
        </is>
      </c>
    </row>
    <row r="22">
      <c r="A22" s="57" t="n">
        <v>45433</v>
      </c>
      <c r="B22" s="2" t="inlineStr">
        <is>
          <t>Laptop</t>
        </is>
      </c>
      <c r="C22" s="2" t="inlineStr">
        <is>
          <t>Electronics</t>
        </is>
      </c>
      <c r="D22" s="2" t="inlineStr">
        <is>
          <t>North</t>
        </is>
      </c>
      <c r="E22" s="2" t="n">
        <v>60</v>
      </c>
      <c r="F22" s="4" t="n">
        <v>4800</v>
      </c>
      <c r="G22" s="4" t="n">
        <v>2160</v>
      </c>
      <c r="H22" s="2" t="inlineStr">
        <is>
          <t>Online</t>
        </is>
      </c>
    </row>
    <row r="23">
      <c r="A23" s="58" t="n">
        <v>45434</v>
      </c>
      <c r="B23" s="3" t="inlineStr">
        <is>
          <t>Sneakers</t>
        </is>
      </c>
      <c r="C23" s="3" t="inlineStr">
        <is>
          <t>Apparel</t>
        </is>
      </c>
      <c r="D23" s="3" t="inlineStr">
        <is>
          <t>South</t>
        </is>
      </c>
      <c r="E23" s="3" t="n">
        <v>67</v>
      </c>
      <c r="F23" s="5" t="n">
        <v>6231</v>
      </c>
      <c r="G23" s="5" t="n">
        <v>2866.26</v>
      </c>
      <c r="H23" s="3" t="inlineStr">
        <is>
          <t>Retail</t>
        </is>
      </c>
    </row>
    <row r="24">
      <c r="A24" s="57" t="n">
        <v>45435</v>
      </c>
      <c r="B24" s="2" t="inlineStr">
        <is>
          <t>Garden Tools</t>
        </is>
      </c>
      <c r="C24" s="2" t="inlineStr">
        <is>
          <t>Home &amp; Garden</t>
        </is>
      </c>
      <c r="D24" s="2" t="inlineStr">
        <is>
          <t>East</t>
        </is>
      </c>
      <c r="E24" s="2" t="n">
        <v>74</v>
      </c>
      <c r="F24" s="4" t="n">
        <v>7844</v>
      </c>
      <c r="G24" s="4" t="n">
        <v>3686.68</v>
      </c>
      <c r="H24" s="2" t="inlineStr">
        <is>
          <t>Wholesale</t>
        </is>
      </c>
    </row>
    <row r="25">
      <c r="A25" s="58" t="n">
        <v>45436</v>
      </c>
      <c r="B25" s="3" t="inlineStr">
        <is>
          <t>Treadmill</t>
        </is>
      </c>
      <c r="C25" s="3" t="inlineStr">
        <is>
          <t>Sports</t>
        </is>
      </c>
      <c r="D25" s="3" t="inlineStr">
        <is>
          <t>West</t>
        </is>
      </c>
      <c r="E25" s="3" t="n">
        <v>81</v>
      </c>
      <c r="F25" s="5" t="n">
        <v>9639</v>
      </c>
      <c r="G25" s="5" t="n">
        <v>4626.72</v>
      </c>
      <c r="H25" s="3" t="inlineStr">
        <is>
          <t>Online</t>
        </is>
      </c>
    </row>
    <row r="26">
      <c r="A26" s="57" t="n">
        <v>45437</v>
      </c>
      <c r="B26" s="2" t="inlineStr">
        <is>
          <t>Laptop</t>
        </is>
      </c>
      <c r="C26" s="2" t="inlineStr">
        <is>
          <t>Electronics</t>
        </is>
      </c>
      <c r="D26" s="2" t="inlineStr">
        <is>
          <t>North</t>
        </is>
      </c>
      <c r="E26" s="2" t="n">
        <v>88</v>
      </c>
      <c r="F26" s="4" t="n">
        <v>11616</v>
      </c>
      <c r="G26" s="4" t="n">
        <v>5691.84</v>
      </c>
      <c r="H26" s="2" t="inlineStr">
        <is>
          <t>Retail</t>
        </is>
      </c>
    </row>
    <row r="27">
      <c r="A27" s="58" t="n">
        <v>45469</v>
      </c>
      <c r="B27" s="3" t="inlineStr">
        <is>
          <t>Sneakers</t>
        </is>
      </c>
      <c r="C27" s="3" t="inlineStr">
        <is>
          <t>Apparel</t>
        </is>
      </c>
      <c r="D27" s="3" t="inlineStr">
        <is>
          <t>South</t>
        </is>
      </c>
      <c r="E27" s="3" t="n">
        <v>95</v>
      </c>
      <c r="F27" s="5" t="n">
        <v>13775</v>
      </c>
      <c r="G27" s="5" t="n">
        <v>6887.5</v>
      </c>
      <c r="H27" s="3" t="inlineStr">
        <is>
          <t>Wholesale</t>
        </is>
      </c>
    </row>
    <row r="28">
      <c r="A28" s="57" t="n">
        <v>45470</v>
      </c>
      <c r="B28" s="2" t="inlineStr">
        <is>
          <t>Garden Tools</t>
        </is>
      </c>
      <c r="C28" s="2" t="inlineStr">
        <is>
          <t>Home &amp; Garden</t>
        </is>
      </c>
      <c r="D28" s="2" t="inlineStr">
        <is>
          <t>East</t>
        </is>
      </c>
      <c r="E28" s="2" t="n">
        <v>12</v>
      </c>
      <c r="F28" s="4" t="n">
        <v>1896</v>
      </c>
      <c r="G28" s="4" t="n">
        <v>966.96</v>
      </c>
      <c r="H28" s="2" t="inlineStr">
        <is>
          <t>Online</t>
        </is>
      </c>
    </row>
    <row r="29">
      <c r="A29" s="58" t="n">
        <v>45471</v>
      </c>
      <c r="B29" s="3" t="inlineStr">
        <is>
          <t>Treadmill</t>
        </is>
      </c>
      <c r="C29" s="3" t="inlineStr">
        <is>
          <t>Sports</t>
        </is>
      </c>
      <c r="D29" s="3" t="inlineStr">
        <is>
          <t>West</t>
        </is>
      </c>
      <c r="E29" s="3" t="n">
        <v>19</v>
      </c>
      <c r="F29" s="5" t="n">
        <v>3249</v>
      </c>
      <c r="G29" s="5" t="n">
        <v>1689.48</v>
      </c>
      <c r="H29" s="3" t="inlineStr">
        <is>
          <t>Retail</t>
        </is>
      </c>
    </row>
    <row r="30">
      <c r="A30" s="57" t="n">
        <v>45444</v>
      </c>
      <c r="B30" s="2" t="inlineStr">
        <is>
          <t>Laptop</t>
        </is>
      </c>
      <c r="C30" s="2" t="inlineStr">
        <is>
          <t>Electronics</t>
        </is>
      </c>
      <c r="D30" s="2" t="inlineStr">
        <is>
          <t>North</t>
        </is>
      </c>
      <c r="E30" s="2" t="n">
        <v>26</v>
      </c>
      <c r="F30" s="4" t="n">
        <v>4784</v>
      </c>
      <c r="G30" s="4" t="n">
        <v>2535.52</v>
      </c>
      <c r="H30" s="2" t="inlineStr">
        <is>
          <t>Wholesale</t>
        </is>
      </c>
    </row>
    <row r="31">
      <c r="A31" s="58" t="n">
        <v>45445</v>
      </c>
      <c r="B31" s="3" t="inlineStr">
        <is>
          <t>Sneakers</t>
        </is>
      </c>
      <c r="C31" s="3" t="inlineStr">
        <is>
          <t>Apparel</t>
        </is>
      </c>
      <c r="D31" s="3" t="inlineStr">
        <is>
          <t>South</t>
        </is>
      </c>
      <c r="E31" s="3" t="n">
        <v>33</v>
      </c>
      <c r="F31" s="5" t="n">
        <v>6501</v>
      </c>
      <c r="G31" s="5" t="n">
        <v>3510.54</v>
      </c>
      <c r="H31" s="3" t="inlineStr">
        <is>
          <t>Online</t>
        </is>
      </c>
    </row>
    <row r="32">
      <c r="A32" s="57" t="n">
        <v>45476</v>
      </c>
      <c r="B32" s="2" t="inlineStr">
        <is>
          <t>Garden Tools</t>
        </is>
      </c>
      <c r="C32" s="2" t="inlineStr">
        <is>
          <t>Home &amp; Garden</t>
        </is>
      </c>
      <c r="D32" s="2" t="inlineStr">
        <is>
          <t>East</t>
        </is>
      </c>
      <c r="E32" s="2" t="n">
        <v>40</v>
      </c>
      <c r="F32" s="4" t="n">
        <v>10920</v>
      </c>
      <c r="G32" s="4" t="n">
        <v>6006</v>
      </c>
      <c r="H32" s="2" t="inlineStr">
        <is>
          <t>Retail</t>
        </is>
      </c>
    </row>
    <row r="33">
      <c r="A33" s="58" t="n">
        <v>45477</v>
      </c>
      <c r="B33" s="3" t="inlineStr">
        <is>
          <t>Treadmill</t>
        </is>
      </c>
      <c r="C33" s="3" t="inlineStr">
        <is>
          <t>Sports</t>
        </is>
      </c>
      <c r="D33" s="3" t="inlineStr">
        <is>
          <t>West</t>
        </is>
      </c>
      <c r="E33" s="3" t="n">
        <v>47</v>
      </c>
      <c r="F33" s="5" t="n">
        <v>1405.3</v>
      </c>
      <c r="G33" s="5" t="n">
        <v>786.97</v>
      </c>
      <c r="H33" s="3" t="inlineStr">
        <is>
          <t>Wholesale</t>
        </is>
      </c>
    </row>
    <row r="34">
      <c r="A34" s="57" t="n">
        <v>45478</v>
      </c>
      <c r="B34" s="2" t="inlineStr">
        <is>
          <t>Laptop</t>
        </is>
      </c>
      <c r="C34" s="2" t="inlineStr">
        <is>
          <t>Electronics</t>
        </is>
      </c>
      <c r="D34" s="2" t="inlineStr">
        <is>
          <t>North</t>
        </is>
      </c>
      <c r="E34" s="2" t="n">
        <v>54</v>
      </c>
      <c r="F34" s="4" t="n">
        <v>2527.2</v>
      </c>
      <c r="G34" s="4" t="n">
        <v>1440.5</v>
      </c>
      <c r="H34" s="2" t="inlineStr">
        <is>
          <t>Online</t>
        </is>
      </c>
    </row>
    <row r="35">
      <c r="A35" s="58" t="n">
        <v>45479</v>
      </c>
      <c r="B35" s="3" t="inlineStr">
        <is>
          <t>Sneakers</t>
        </is>
      </c>
      <c r="C35" s="3" t="inlineStr">
        <is>
          <t>Apparel</t>
        </is>
      </c>
      <c r="D35" s="3" t="inlineStr">
        <is>
          <t>South</t>
        </is>
      </c>
      <c r="E35" s="3" t="n">
        <v>61</v>
      </c>
      <c r="F35" s="5" t="n">
        <v>3885.7</v>
      </c>
      <c r="G35" s="5" t="n">
        <v>2253.71</v>
      </c>
      <c r="H35" s="3" t="inlineStr">
        <is>
          <t>Retail</t>
        </is>
      </c>
    </row>
    <row r="36">
      <c r="A36" s="57" t="n">
        <v>45480</v>
      </c>
      <c r="B36" s="2" t="inlineStr">
        <is>
          <t>Garden Tools</t>
        </is>
      </c>
      <c r="C36" s="2" t="inlineStr">
        <is>
          <t>Home &amp; Garden</t>
        </is>
      </c>
      <c r="D36" s="2" t="inlineStr">
        <is>
          <t>East</t>
        </is>
      </c>
      <c r="E36" s="2" t="n">
        <v>68</v>
      </c>
      <c r="F36" s="4" t="n">
        <v>5480.8</v>
      </c>
      <c r="G36" s="4" t="n">
        <v>3233.67</v>
      </c>
      <c r="H36" s="2" t="inlineStr">
        <is>
          <t>Wholesale</t>
        </is>
      </c>
    </row>
    <row r="37">
      <c r="A37" s="58" t="n">
        <v>45512</v>
      </c>
      <c r="B37" s="3" t="inlineStr">
        <is>
          <t>Treadmill</t>
        </is>
      </c>
      <c r="C37" s="3" t="inlineStr">
        <is>
          <t>Sports</t>
        </is>
      </c>
      <c r="D37" s="3" t="inlineStr">
        <is>
          <t>West</t>
        </is>
      </c>
      <c r="E37" s="3" t="n">
        <v>75</v>
      </c>
      <c r="F37" s="5" t="n">
        <v>5625</v>
      </c>
      <c r="G37" s="5" t="n">
        <v>3375</v>
      </c>
      <c r="H37" s="3" t="inlineStr">
        <is>
          <t>Online</t>
        </is>
      </c>
    </row>
    <row r="38">
      <c r="A38" s="57" t="n">
        <v>45513</v>
      </c>
      <c r="B38" s="2" t="inlineStr">
        <is>
          <t>Laptop</t>
        </is>
      </c>
      <c r="C38" s="2" t="inlineStr">
        <is>
          <t>Electronics</t>
        </is>
      </c>
      <c r="D38" s="2" t="inlineStr">
        <is>
          <t>North</t>
        </is>
      </c>
      <c r="E38" s="2" t="n">
        <v>82</v>
      </c>
      <c r="F38" s="4" t="n">
        <v>7216</v>
      </c>
      <c r="G38" s="4" t="n">
        <v>4401.76</v>
      </c>
      <c r="H38" s="2" t="inlineStr">
        <is>
          <t>Retail</t>
        </is>
      </c>
    </row>
    <row r="39">
      <c r="A39" s="58" t="n">
        <v>45514</v>
      </c>
      <c r="B39" s="3" t="inlineStr">
        <is>
          <t>Sneakers</t>
        </is>
      </c>
      <c r="C39" s="3" t="inlineStr">
        <is>
          <t>Apparel</t>
        </is>
      </c>
      <c r="D39" s="3" t="inlineStr">
        <is>
          <t>South</t>
        </is>
      </c>
      <c r="E39" s="3" t="n">
        <v>89</v>
      </c>
      <c r="F39" s="5" t="n">
        <v>8989</v>
      </c>
      <c r="G39" s="5" t="n">
        <v>5573.18</v>
      </c>
      <c r="H39" s="3" t="inlineStr">
        <is>
          <t>Wholesale</t>
        </is>
      </c>
    </row>
    <row r="40">
      <c r="A40" s="57" t="n">
        <v>45515</v>
      </c>
      <c r="B40" s="2" t="inlineStr">
        <is>
          <t>Garden Tools</t>
        </is>
      </c>
      <c r="C40" s="2" t="inlineStr">
        <is>
          <t>Home &amp; Garden</t>
        </is>
      </c>
      <c r="D40" s="2" t="inlineStr">
        <is>
          <t>East</t>
        </is>
      </c>
      <c r="E40" s="2" t="n">
        <v>96</v>
      </c>
      <c r="F40" s="4" t="n">
        <v>10944</v>
      </c>
      <c r="G40" s="4" t="n">
        <v>6894.72</v>
      </c>
      <c r="H40" s="2" t="inlineStr">
        <is>
          <t>Online</t>
        </is>
      </c>
    </row>
    <row r="41">
      <c r="A41" s="58" t="n">
        <v>45516</v>
      </c>
      <c r="B41" s="3" t="inlineStr">
        <is>
          <t>Treadmill</t>
        </is>
      </c>
      <c r="C41" s="3" t="inlineStr">
        <is>
          <t>Sports</t>
        </is>
      </c>
      <c r="D41" s="3" t="inlineStr">
        <is>
          <t>West</t>
        </is>
      </c>
      <c r="E41" s="3" t="n">
        <v>13</v>
      </c>
      <c r="F41" s="5" t="n">
        <v>1651</v>
      </c>
      <c r="G41" s="5" t="n">
        <v>1056.64</v>
      </c>
      <c r="H41" s="3" t="inlineStr">
        <is>
          <t>Retail</t>
        </is>
      </c>
    </row>
    <row r="42">
      <c r="A42" s="57" t="n">
        <v>45548</v>
      </c>
      <c r="B42" s="2" t="inlineStr">
        <is>
          <t>Laptop</t>
        </is>
      </c>
      <c r="C42" s="2" t="inlineStr">
        <is>
          <t>Electronics</t>
        </is>
      </c>
      <c r="D42" s="2" t="inlineStr">
        <is>
          <t>North</t>
        </is>
      </c>
      <c r="E42" s="2" t="n">
        <v>20</v>
      </c>
      <c r="F42" s="4" t="n">
        <v>2800</v>
      </c>
      <c r="G42" s="4" t="n">
        <v>1260</v>
      </c>
      <c r="H42" s="2" t="inlineStr">
        <is>
          <t>Wholesale</t>
        </is>
      </c>
    </row>
    <row r="43">
      <c r="A43" s="58" t="n">
        <v>45549</v>
      </c>
      <c r="B43" s="3" t="inlineStr">
        <is>
          <t>Sneakers</t>
        </is>
      </c>
      <c r="C43" s="3" t="inlineStr">
        <is>
          <t>Apparel</t>
        </is>
      </c>
      <c r="D43" s="3" t="inlineStr">
        <is>
          <t>South</t>
        </is>
      </c>
      <c r="E43" s="3" t="n">
        <v>27</v>
      </c>
      <c r="F43" s="5" t="n">
        <v>4131</v>
      </c>
      <c r="G43" s="5" t="n">
        <v>1900.26</v>
      </c>
      <c r="H43" s="3" t="inlineStr">
        <is>
          <t>Online</t>
        </is>
      </c>
    </row>
    <row r="44">
      <c r="A44" s="57" t="n">
        <v>45550</v>
      </c>
      <c r="B44" s="2" t="inlineStr">
        <is>
          <t>Garden Tools</t>
        </is>
      </c>
      <c r="C44" s="2" t="inlineStr">
        <is>
          <t>Home &amp; Garden</t>
        </is>
      </c>
      <c r="D44" s="2" t="inlineStr">
        <is>
          <t>East</t>
        </is>
      </c>
      <c r="E44" s="2" t="n">
        <v>34</v>
      </c>
      <c r="F44" s="4" t="n">
        <v>5644</v>
      </c>
      <c r="G44" s="4" t="n">
        <v>2652.68</v>
      </c>
      <c r="H44" s="2" t="inlineStr">
        <is>
          <t>Retail</t>
        </is>
      </c>
    </row>
    <row r="45">
      <c r="A45" s="58" t="n">
        <v>45551</v>
      </c>
      <c r="B45" s="3" t="inlineStr">
        <is>
          <t>Treadmill</t>
        </is>
      </c>
      <c r="C45" s="3" t="inlineStr">
        <is>
          <t>Sports</t>
        </is>
      </c>
      <c r="D45" s="3" t="inlineStr">
        <is>
          <t>West</t>
        </is>
      </c>
      <c r="E45" s="3" t="n">
        <v>41</v>
      </c>
      <c r="F45" s="5" t="n">
        <v>7339</v>
      </c>
      <c r="G45" s="5" t="n">
        <v>3522.72</v>
      </c>
      <c r="H45" s="3" t="inlineStr">
        <is>
          <t>Wholesale</t>
        </is>
      </c>
    </row>
    <row r="46">
      <c r="A46" s="57" t="n">
        <v>45552</v>
      </c>
      <c r="B46" s="2" t="inlineStr">
        <is>
          <t>Laptop</t>
        </is>
      </c>
      <c r="C46" s="2" t="inlineStr">
        <is>
          <t>Electronics</t>
        </is>
      </c>
      <c r="D46" s="2" t="inlineStr">
        <is>
          <t>North</t>
        </is>
      </c>
      <c r="E46" s="2" t="n">
        <v>48</v>
      </c>
      <c r="F46" s="4" t="n">
        <v>9216</v>
      </c>
      <c r="G46" s="4" t="n">
        <v>4515.84</v>
      </c>
      <c r="H46" s="2" t="inlineStr">
        <is>
          <t>Online</t>
        </is>
      </c>
    </row>
    <row r="47">
      <c r="A47" s="58" t="n">
        <v>45583</v>
      </c>
      <c r="B47" s="3" t="inlineStr">
        <is>
          <t>Sneakers</t>
        </is>
      </c>
      <c r="C47" s="3" t="inlineStr">
        <is>
          <t>Apparel</t>
        </is>
      </c>
      <c r="D47" s="3" t="inlineStr">
        <is>
          <t>South</t>
        </is>
      </c>
      <c r="E47" s="3" t="n">
        <v>55</v>
      </c>
      <c r="F47" s="5" t="n">
        <v>11275</v>
      </c>
      <c r="G47" s="5" t="n">
        <v>5637.5</v>
      </c>
      <c r="H47" s="3" t="inlineStr">
        <is>
          <t>Retail</t>
        </is>
      </c>
    </row>
    <row r="48">
      <c r="A48" s="57" t="n">
        <v>45584</v>
      </c>
      <c r="B48" s="2" t="inlineStr">
        <is>
          <t>Garden Tools</t>
        </is>
      </c>
      <c r="C48" s="2" t="inlineStr">
        <is>
          <t>Home &amp; Garden</t>
        </is>
      </c>
      <c r="D48" s="2" t="inlineStr">
        <is>
          <t>East</t>
        </is>
      </c>
      <c r="E48" s="2" t="n">
        <v>62</v>
      </c>
      <c r="F48" s="4" t="n">
        <v>13516</v>
      </c>
      <c r="G48" s="4" t="n">
        <v>6893.16</v>
      </c>
      <c r="H48" s="2" t="inlineStr">
        <is>
          <t>Wholesale</t>
        </is>
      </c>
    </row>
    <row r="49">
      <c r="A49" s="58" t="n">
        <v>45585</v>
      </c>
      <c r="B49" s="3" t="inlineStr">
        <is>
          <t>Treadmill</t>
        </is>
      </c>
      <c r="C49" s="3" t="inlineStr">
        <is>
          <t>Sports</t>
        </is>
      </c>
      <c r="D49" s="3" t="inlineStr">
        <is>
          <t>West</t>
        </is>
      </c>
      <c r="E49" s="3" t="n">
        <v>69</v>
      </c>
      <c r="F49" s="5" t="n">
        <v>2139</v>
      </c>
      <c r="G49" s="5" t="n">
        <v>1112.28</v>
      </c>
      <c r="H49" s="3" t="inlineStr">
        <is>
          <t>Online</t>
        </is>
      </c>
    </row>
    <row r="50">
      <c r="A50" s="57" t="n">
        <v>45586</v>
      </c>
      <c r="B50" s="2" t="inlineStr">
        <is>
          <t>Laptop</t>
        </is>
      </c>
      <c r="C50" s="2" t="inlineStr">
        <is>
          <t>Electronics</t>
        </is>
      </c>
      <c r="D50" s="2" t="inlineStr">
        <is>
          <t>North</t>
        </is>
      </c>
      <c r="E50" s="2" t="n">
        <v>76</v>
      </c>
      <c r="F50" s="4" t="n">
        <v>3344</v>
      </c>
      <c r="G50" s="4" t="n">
        <v>1772.32</v>
      </c>
      <c r="H50" s="2" t="inlineStr">
        <is>
          <t>Retail</t>
        </is>
      </c>
    </row>
    <row r="51">
      <c r="A51" s="58" t="n">
        <v>45587</v>
      </c>
      <c r="B51" s="3" t="inlineStr">
        <is>
          <t>Sneakers</t>
        </is>
      </c>
      <c r="C51" s="3" t="inlineStr">
        <is>
          <t>Apparel</t>
        </is>
      </c>
      <c r="D51" s="3" t="inlineStr">
        <is>
          <t>South</t>
        </is>
      </c>
      <c r="E51" s="3" t="n">
        <v>83</v>
      </c>
      <c r="F51" s="5" t="n">
        <v>4731</v>
      </c>
      <c r="G51" s="5" t="n">
        <v>2554.74</v>
      </c>
      <c r="H51" s="3" t="inlineStr">
        <is>
          <t>Wholesale</t>
        </is>
      </c>
    </row>
    <row r="52">
      <c r="A52" s="57" t="n">
        <v>45619</v>
      </c>
      <c r="B52" s="2" t="inlineStr">
        <is>
          <t>Garden Tools</t>
        </is>
      </c>
      <c r="C52" s="2" t="inlineStr">
        <is>
          <t>Home &amp; Garden</t>
        </is>
      </c>
      <c r="D52" s="2" t="inlineStr">
        <is>
          <t>East</t>
        </is>
      </c>
      <c r="E52" s="2" t="n">
        <v>90</v>
      </c>
      <c r="F52" s="4" t="n">
        <v>8190</v>
      </c>
      <c r="G52" s="4" t="n">
        <v>4504.5</v>
      </c>
      <c r="H52" s="2" t="inlineStr">
        <is>
          <t>Online</t>
        </is>
      </c>
    </row>
    <row r="53">
      <c r="A53" s="58" t="n">
        <v>45620</v>
      </c>
      <c r="B53" s="3" t="inlineStr">
        <is>
          <t>Treadmill</t>
        </is>
      </c>
      <c r="C53" s="3" t="inlineStr">
        <is>
          <t>Sports</t>
        </is>
      </c>
      <c r="D53" s="3" t="inlineStr">
        <is>
          <t>West</t>
        </is>
      </c>
      <c r="E53" s="3" t="n">
        <v>97</v>
      </c>
      <c r="F53" s="5" t="n">
        <v>10466.3</v>
      </c>
      <c r="G53" s="5" t="n">
        <v>5861.13</v>
      </c>
      <c r="H53" s="3" t="inlineStr">
        <is>
          <t>Retail</t>
        </is>
      </c>
    </row>
    <row r="54">
      <c r="A54" s="57" t="n">
        <v>45621</v>
      </c>
      <c r="B54" s="2" t="inlineStr">
        <is>
          <t>Laptop</t>
        </is>
      </c>
      <c r="C54" s="2" t="inlineStr">
        <is>
          <t>Electronics</t>
        </is>
      </c>
      <c r="D54" s="2" t="inlineStr">
        <is>
          <t>North</t>
        </is>
      </c>
      <c r="E54" s="2" t="n">
        <v>14</v>
      </c>
      <c r="F54" s="4" t="n">
        <v>1747.2</v>
      </c>
      <c r="G54" s="4" t="n">
        <v>995.9</v>
      </c>
      <c r="H54" s="2" t="inlineStr">
        <is>
          <t>Wholesale</t>
        </is>
      </c>
    </row>
    <row r="55">
      <c r="A55" s="58" t="n">
        <v>45622</v>
      </c>
      <c r="B55" s="3" t="inlineStr">
        <is>
          <t>Sneakers</t>
        </is>
      </c>
      <c r="C55" s="3" t="inlineStr">
        <is>
          <t>Apparel</t>
        </is>
      </c>
      <c r="D55" s="3" t="inlineStr">
        <is>
          <t>South</t>
        </is>
      </c>
      <c r="E55" s="3" t="n">
        <v>21</v>
      </c>
      <c r="F55" s="5" t="n">
        <v>2975.7</v>
      </c>
      <c r="G55" s="5" t="n">
        <v>1725.91</v>
      </c>
      <c r="H55" s="3" t="inlineStr">
        <is>
          <t>Online</t>
        </is>
      </c>
    </row>
    <row r="56">
      <c r="A56" s="57" t="n">
        <v>45623</v>
      </c>
      <c r="B56" s="2" t="inlineStr">
        <is>
          <t>Garden Tools</t>
        </is>
      </c>
      <c r="C56" s="2" t="inlineStr">
        <is>
          <t>Home &amp; Garden</t>
        </is>
      </c>
      <c r="D56" s="2" t="inlineStr">
        <is>
          <t>East</t>
        </is>
      </c>
      <c r="E56" s="2" t="n">
        <v>28</v>
      </c>
      <c r="F56" s="4" t="n">
        <v>4440.8</v>
      </c>
      <c r="G56" s="4" t="n">
        <v>2620.07</v>
      </c>
      <c r="H56" s="2" t="inlineStr">
        <is>
          <t>Retail</t>
        </is>
      </c>
    </row>
    <row r="57">
      <c r="A57" s="58" t="n">
        <v>45654</v>
      </c>
      <c r="B57" s="3" t="inlineStr">
        <is>
          <t>Treadmill</t>
        </is>
      </c>
      <c r="C57" s="3" t="inlineStr">
        <is>
          <t>Sports</t>
        </is>
      </c>
      <c r="D57" s="3" t="inlineStr">
        <is>
          <t>West</t>
        </is>
      </c>
      <c r="E57" s="3" t="n">
        <v>35</v>
      </c>
      <c r="F57" s="5" t="n">
        <v>4725</v>
      </c>
      <c r="G57" s="5" t="n">
        <v>2835</v>
      </c>
      <c r="H57" s="3" t="inlineStr">
        <is>
          <t>Wholesale</t>
        </is>
      </c>
    </row>
    <row r="58">
      <c r="A58" s="57" t="n">
        <v>45627</v>
      </c>
      <c r="B58" s="2" t="inlineStr">
        <is>
          <t>Laptop</t>
        </is>
      </c>
      <c r="C58" s="2" t="inlineStr">
        <is>
          <t>Electronics</t>
        </is>
      </c>
      <c r="D58" s="2" t="inlineStr">
        <is>
          <t>North</t>
        </is>
      </c>
      <c r="E58" s="2" t="n">
        <v>42</v>
      </c>
      <c r="F58" s="4" t="n">
        <v>6216</v>
      </c>
      <c r="G58" s="4" t="n">
        <v>3791.76</v>
      </c>
      <c r="H58" s="2" t="inlineStr">
        <is>
          <t>Online</t>
        </is>
      </c>
    </row>
    <row r="59">
      <c r="A59" s="58" t="n">
        <v>45628</v>
      </c>
      <c r="B59" s="3" t="inlineStr">
        <is>
          <t>Sneakers</t>
        </is>
      </c>
      <c r="C59" s="3" t="inlineStr">
        <is>
          <t>Apparel</t>
        </is>
      </c>
      <c r="D59" s="3" t="inlineStr">
        <is>
          <t>South</t>
        </is>
      </c>
      <c r="E59" s="3" t="n">
        <v>49</v>
      </c>
      <c r="F59" s="5" t="n">
        <v>7889</v>
      </c>
      <c r="G59" s="5" t="n">
        <v>4891.18</v>
      </c>
      <c r="H59" s="3" t="inlineStr">
        <is>
          <t>Retail</t>
        </is>
      </c>
    </row>
    <row r="60">
      <c r="A60" s="57" t="n">
        <v>45629</v>
      </c>
      <c r="B60" s="2" t="inlineStr">
        <is>
          <t>Garden Tools</t>
        </is>
      </c>
      <c r="C60" s="2" t="inlineStr">
        <is>
          <t>Home &amp; Garden</t>
        </is>
      </c>
      <c r="D60" s="2" t="inlineStr">
        <is>
          <t>East</t>
        </is>
      </c>
      <c r="E60" s="2" t="n">
        <v>56</v>
      </c>
      <c r="F60" s="4" t="n">
        <v>9744</v>
      </c>
      <c r="G60" s="4" t="n">
        <v>6138.72</v>
      </c>
      <c r="H60" s="2" t="inlineStr">
        <is>
          <t>Wholesale</t>
        </is>
      </c>
    </row>
    <row r="61">
      <c r="A61" s="58" t="n">
        <v>45630</v>
      </c>
      <c r="B61" s="3" t="inlineStr">
        <is>
          <t>Treadmill</t>
        </is>
      </c>
      <c r="C61" s="3" t="inlineStr">
        <is>
          <t>Sports</t>
        </is>
      </c>
      <c r="D61" s="3" t="inlineStr">
        <is>
          <t>West</t>
        </is>
      </c>
      <c r="E61" s="3" t="n">
        <v>63</v>
      </c>
      <c r="F61" s="5" t="n">
        <v>11781</v>
      </c>
      <c r="G61" s="5" t="n">
        <v>7539.84</v>
      </c>
      <c r="H61" s="3" t="inlineStr">
        <is>
          <t>Online</t>
        </is>
      </c>
    </row>
    <row r="62">
      <c r="A62" s="58" t="n">
        <v>45661</v>
      </c>
      <c r="B62" s="3" t="inlineStr">
        <is>
          <t>Krishna automation</t>
        </is>
      </c>
      <c r="C62" s="3" t="inlineStr">
        <is>
          <t>Ai</t>
        </is>
      </c>
      <c r="D62" s="3" t="inlineStr">
        <is>
          <t>Dubai</t>
        </is>
      </c>
      <c r="E62" s="3" t="n">
        <v>5000</v>
      </c>
      <c r="F62" s="5" t="n">
        <v>100000</v>
      </c>
      <c r="G62" s="5" t="n">
        <v>4000</v>
      </c>
      <c r="H62" s="3" t="inlineStr">
        <is>
          <t>Online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tabColor rgb="FF375623"/>
    <outlinePr summaryBelow="1" summaryRight="1"/>
    <pageSetUpPr/>
  </sheetPr>
  <dimension ref="A1:H23"/>
  <sheetViews>
    <sheetView workbookViewId="0">
      <selection activeCell="A1" sqref="A1:F1"/>
    </sheetView>
  </sheetViews>
  <sheetFormatPr baseColWidth="8" defaultRowHeight="14.4"/>
  <cols>
    <col width="42.5546875" customWidth="1" style="56" min="1" max="1"/>
    <col width="29.6640625" customWidth="1" style="56" min="2" max="2"/>
    <col width="51.88671875" customWidth="1" style="56" min="3" max="4"/>
    <col width="16.6640625" customWidth="1" style="56" min="5" max="5"/>
    <col width="18.5546875" customWidth="1" style="56" min="6" max="6"/>
    <col width="48.109375" customWidth="1" style="56" min="8" max="8"/>
  </cols>
  <sheetData>
    <row r="1" ht="31.95" customHeight="1" s="56">
      <c r="A1" s="55" t="inlineStr">
        <is>
          <t>⚙️  COLUMN MAPPING CONFIGURATION — Map your dataset columns to system fields</t>
        </is>
      </c>
    </row>
    <row r="2" ht="22.05" customHeight="1" s="56">
      <c r="A2" s="6" t="inlineStr">
        <is>
          <t>Step 1: Paste your CSV headers into the 'Available Columns' list (column H). Step 2: Select the correct column for each field using the yellow dropdowns (column B).</t>
        </is>
      </c>
    </row>
    <row r="4" ht="24" customHeight="1" s="56">
      <c r="A4" s="7" t="inlineStr">
        <is>
          <t>System Field</t>
        </is>
      </c>
      <c r="B4" s="7" t="inlineStr">
        <is>
          <t>Mapped Column ▾</t>
        </is>
      </c>
      <c r="C4" s="7" t="inlineStr">
        <is>
          <t>Required?</t>
        </is>
      </c>
      <c r="D4" s="7" t="inlineStr">
        <is>
          <t>Description</t>
        </is>
      </c>
      <c r="E4" s="7" t="inlineStr">
        <is>
          <t>Data Type</t>
        </is>
      </c>
      <c r="F4" s="7" t="inlineStr">
        <is>
          <t>Status</t>
        </is>
      </c>
      <c r="H4" s="1" t="inlineStr">
        <is>
          <t>Available CSV Columns (auto-detected from Raw_Data)</t>
        </is>
      </c>
    </row>
    <row r="5">
      <c r="A5" s="8" t="inlineStr">
        <is>
          <t>Date / Transaction Date</t>
        </is>
      </c>
      <c r="B5" s="12" t="inlineStr">
        <is>
          <t>Date</t>
        </is>
      </c>
      <c r="C5" s="10" t="inlineStr">
        <is>
          <t>REQUIRED</t>
        </is>
      </c>
      <c r="D5" s="8" t="inlineStr">
        <is>
          <t>Date column (YYYY-MM-DD preferred)</t>
        </is>
      </c>
      <c r="E5" s="8" t="inlineStr">
        <is>
          <t>Date</t>
        </is>
      </c>
      <c r="F5" s="9">
        <f>IF(B5&lt;&gt;"","✅ Mapped","⚠️ Not Set")</f>
        <v/>
      </c>
      <c r="H5" s="18" t="inlineStr">
        <is>
          <t>Date</t>
        </is>
      </c>
    </row>
    <row r="6">
      <c r="A6" s="3" t="inlineStr">
        <is>
          <t>Revenue / Sales Amount</t>
        </is>
      </c>
      <c r="B6" s="12" t="inlineStr">
        <is>
          <t>Revenue</t>
        </is>
      </c>
      <c r="C6" s="14" t="inlineStr">
        <is>
          <t>REQUIRED</t>
        </is>
      </c>
      <c r="D6" s="3" t="inlineStr">
        <is>
          <t>Primary revenue/sales numeric column</t>
        </is>
      </c>
      <c r="E6" s="3" t="inlineStr">
        <is>
          <t>Number</t>
        </is>
      </c>
      <c r="F6" s="13">
        <f>IF(B6&lt;&gt;"","✅ Mapped","⚠️ Not Set")</f>
        <v/>
      </c>
      <c r="H6" s="18" t="inlineStr">
        <is>
          <t>Product</t>
        </is>
      </c>
    </row>
    <row r="7">
      <c r="A7" s="8" t="inlineStr">
        <is>
          <t>Product / Item Name</t>
        </is>
      </c>
      <c r="B7" s="12" t="inlineStr">
        <is>
          <t>Product</t>
        </is>
      </c>
      <c r="C7" s="10" t="inlineStr">
        <is>
          <t>REQUIRED</t>
        </is>
      </c>
      <c r="D7" s="8" t="inlineStr">
        <is>
          <t>Product or item name column</t>
        </is>
      </c>
      <c r="E7" s="8" t="inlineStr">
        <is>
          <t>Text</t>
        </is>
      </c>
      <c r="F7" s="9">
        <f>IF(B7&lt;&gt;"","✅ Mapped","⚠️ Not Set")</f>
        <v/>
      </c>
      <c r="H7" s="18" t="inlineStr">
        <is>
          <t>Category</t>
        </is>
      </c>
    </row>
    <row r="8">
      <c r="A8" s="3" t="inlineStr">
        <is>
          <t>Category / Department</t>
        </is>
      </c>
      <c r="B8" s="12" t="inlineStr">
        <is>
          <t>Category</t>
        </is>
      </c>
      <c r="C8" s="14" t="inlineStr">
        <is>
          <t>REQUIRED</t>
        </is>
      </c>
      <c r="D8" s="3" t="inlineStr">
        <is>
          <t>Category grouping column</t>
        </is>
      </c>
      <c r="E8" s="3" t="inlineStr">
        <is>
          <t>Text</t>
        </is>
      </c>
      <c r="F8" s="13">
        <f>IF(B8&lt;&gt;"","✅ Mapped","⚠️ Not Set")</f>
        <v/>
      </c>
      <c r="H8" s="18" t="inlineStr">
        <is>
          <t>Region</t>
        </is>
      </c>
    </row>
    <row r="9">
      <c r="A9" s="8" t="inlineStr">
        <is>
          <t>Region / Territory</t>
        </is>
      </c>
      <c r="B9" s="12" t="inlineStr">
        <is>
          <t>Region</t>
        </is>
      </c>
      <c r="C9" s="16" t="inlineStr">
        <is>
          <t>OPTIONAL</t>
        </is>
      </c>
      <c r="D9" s="8" t="inlineStr">
        <is>
          <t>Geographic region column</t>
        </is>
      </c>
      <c r="E9" s="8" t="inlineStr">
        <is>
          <t>Text</t>
        </is>
      </c>
      <c r="F9" s="9">
        <f>IF(B9&lt;&gt;"","✅ Mapped","⚠️ Not Set")</f>
        <v/>
      </c>
      <c r="H9" s="18" t="inlineStr">
        <is>
          <t>Units_Sold</t>
        </is>
      </c>
    </row>
    <row r="10">
      <c r="A10" s="3" t="inlineStr">
        <is>
          <t>Cost / COGS</t>
        </is>
      </c>
      <c r="B10" s="12" t="inlineStr">
        <is>
          <t>Cost</t>
        </is>
      </c>
      <c r="C10" s="17" t="inlineStr">
        <is>
          <t>OPTIONAL</t>
        </is>
      </c>
      <c r="D10" s="3" t="inlineStr">
        <is>
          <t>Cost of goods / expenses column</t>
        </is>
      </c>
      <c r="E10" s="3" t="inlineStr">
        <is>
          <t>Number</t>
        </is>
      </c>
      <c r="F10" s="13">
        <f>IF(B10&lt;&gt;"","✅ Mapped","⚠️ Not Set")</f>
        <v/>
      </c>
      <c r="H10" s="18" t="inlineStr">
        <is>
          <t>Revenue</t>
        </is>
      </c>
    </row>
    <row r="11">
      <c r="A11" s="8" t="inlineStr">
        <is>
          <t>Units / Quantity</t>
        </is>
      </c>
      <c r="B11" s="12" t="inlineStr">
        <is>
          <t>Units_Sold</t>
        </is>
      </c>
      <c r="C11" s="16" t="inlineStr">
        <is>
          <t>OPTIONAL</t>
        </is>
      </c>
      <c r="D11" s="8" t="inlineStr">
        <is>
          <t>Unit volume column</t>
        </is>
      </c>
      <c r="E11" s="8" t="inlineStr">
        <is>
          <t>Number</t>
        </is>
      </c>
      <c r="F11" s="9">
        <f>IF(B11&lt;&gt;"","✅ Mapped","⚠️ Not Set")</f>
        <v/>
      </c>
      <c r="H11" s="18" t="inlineStr">
        <is>
          <t>Cost</t>
        </is>
      </c>
    </row>
    <row r="12">
      <c r="A12" s="3" t="inlineStr">
        <is>
          <t>Customer Segment</t>
        </is>
      </c>
      <c r="B12" s="12" t="inlineStr">
        <is>
          <t>Customer_Segment</t>
        </is>
      </c>
      <c r="C12" s="17" t="inlineStr">
        <is>
          <t>OPTIONAL</t>
        </is>
      </c>
      <c r="D12" s="3" t="inlineStr">
        <is>
          <t>Customer type/tier column</t>
        </is>
      </c>
      <c r="E12" s="3" t="inlineStr">
        <is>
          <t>Text</t>
        </is>
      </c>
      <c r="F12" s="13">
        <f>IF(B12&lt;&gt;"","✅ Mapped","⚠️ Not Set")</f>
        <v/>
      </c>
      <c r="H12" s="18" t="inlineStr">
        <is>
          <t>Customer_Segment</t>
        </is>
      </c>
    </row>
    <row r="15" ht="28.05" customHeight="1" s="56">
      <c r="A15" s="19" t="inlineStr">
        <is>
          <t>📊  ANALYSIS SETTINGS</t>
        </is>
      </c>
    </row>
    <row r="16" ht="22.05" customHeight="1" s="56">
      <c r="A16" s="20" t="inlineStr">
        <is>
          <t>Trend Detection Window (months)</t>
        </is>
      </c>
      <c r="B16" s="11" t="n">
        <v>3</v>
      </c>
      <c r="C16" s="18" t="inlineStr">
        <is>
          <t>Months to compare for growth calculation</t>
        </is>
      </c>
    </row>
    <row r="17" ht="22.05" customHeight="1" s="56">
      <c r="A17" s="15" t="inlineStr">
        <is>
          <t>Anomaly Threshold (%)</t>
        </is>
      </c>
      <c r="B17" s="11" t="n">
        <v>25</v>
      </c>
      <c r="C17" s="3" t="inlineStr">
        <is>
          <t>% change flagged as spike or drop</t>
        </is>
      </c>
    </row>
    <row r="18" ht="22.05" customHeight="1" s="56">
      <c r="A18" s="20" t="inlineStr">
        <is>
          <t>Top N Categories</t>
        </is>
      </c>
      <c r="B18" s="11" t="n">
        <v>5</v>
      </c>
      <c r="C18" s="18" t="inlineStr">
        <is>
          <t>Number of top categories to surface</t>
        </is>
      </c>
    </row>
    <row r="19" ht="22.05" customHeight="1" s="56">
      <c r="A19" s="15" t="inlineStr">
        <is>
          <t>Enable GPT Insights</t>
        </is>
      </c>
      <c r="B19" s="11" t="b">
        <v>0</v>
      </c>
      <c r="C19" s="3" t="inlineStr">
        <is>
          <t>TRUE = call OpenAI API for narrative insights</t>
        </is>
      </c>
    </row>
    <row r="20" ht="22.05" customHeight="1" s="56">
      <c r="A20" s="20" t="inlineStr">
        <is>
          <t>GPT API Key</t>
        </is>
      </c>
      <c r="B20" s="11" t="inlineStr">
        <is>
          <t>sk-...</t>
        </is>
      </c>
      <c r="C20" s="18" t="inlineStr">
        <is>
          <t>Paste OpenAI API key (kept local, never transmitted)</t>
        </is>
      </c>
    </row>
    <row r="21" ht="22.05" customHeight="1" s="56">
      <c r="A21" s="15" t="inlineStr">
        <is>
          <t>Report Output Path</t>
        </is>
      </c>
      <c r="B21" s="11" t="inlineStr">
        <is>
          <t>output/</t>
        </is>
      </c>
      <c r="C21" s="3" t="inlineStr">
        <is>
          <t>Relative folder for saving PDF/CSV reports</t>
        </is>
      </c>
    </row>
    <row r="22" ht="22.05" customHeight="1" s="56">
      <c r="A22" s="20" t="inlineStr">
        <is>
          <t>Email Report On Completion</t>
        </is>
      </c>
      <c r="B22" s="11" t="b">
        <v>0</v>
      </c>
      <c r="C22" s="18" t="inlineStr">
        <is>
          <t>TRUE = send email after each run</t>
        </is>
      </c>
    </row>
    <row r="23" ht="22.05" customHeight="1" s="56">
      <c r="A23" s="15" t="inlineStr">
        <is>
          <t>Email Recipients</t>
        </is>
      </c>
      <c r="B23" s="11" t="n"/>
      <c r="C23" s="3" t="inlineStr">
        <is>
          <t>Comma-separated: user1@co.com,user2@co.com</t>
        </is>
      </c>
    </row>
  </sheetData>
  <mergeCells count="1">
    <mergeCell ref="A1:F1"/>
  </mergeCells>
  <dataValidations count="2">
    <dataValidation sqref="B5 B6 B7 B8 B9 B10 B11 B12" showDropDown="0" showInputMessage="1" showErrorMessage="1" allowBlank="1" type="list">
      <formula1>"Date,Product,Category,Region,Units_Sold,Revenue,Cost,Customer_Segment"</formula1>
    </dataValidation>
    <dataValidation sqref="B19 B22" showDropDown="0" showInputMessage="1" showErrorMessage="1" allowBlank="1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478251</v>
      </c>
    </row>
    <row r="3">
      <c r="A3" t="inlineStr">
        <is>
          <t>Average Revenue</t>
        </is>
      </c>
      <c r="B3" t="n">
        <v>7840.180327868852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tabColor rgb="FF833C00"/>
    <outlinePr summaryBelow="1" summaryRight="1"/>
    <pageSetUpPr/>
  </sheetPr>
  <dimension ref="B1:C96"/>
  <sheetViews>
    <sheetView workbookViewId="0">
      <selection activeCell="C95" sqref="C95"/>
    </sheetView>
  </sheetViews>
  <sheetFormatPr baseColWidth="8" defaultRowHeight="14.4"/>
  <cols>
    <col width="63" customWidth="1" style="56" min="2" max="2"/>
    <col width="51.88671875" customWidth="1" style="56" min="3" max="3"/>
  </cols>
  <sheetData>
    <row r="1" ht="46.05" customHeight="1" s="56">
      <c r="B1" s="43" t="inlineStr">
        <is>
          <t>🐍  PYTHON ANALYTICS ENGINE — COMPLETE SETUP GUIDE</t>
        </is>
      </c>
      <c r="C1" s="44" t="n"/>
    </row>
    <row r="2" ht="22.05" customHeight="1" s="56">
      <c r="B2" s="45" t="inlineStr">
        <is>
          <t>analytics_engine.py  |  7 modules  |  pandas + openpyxl + AI insights  |  v2.0</t>
        </is>
      </c>
      <c r="C2" s="46" t="n"/>
    </row>
    <row r="3">
      <c r="B3" s="42" t="n"/>
      <c r="C3" s="42" t="n"/>
    </row>
    <row r="4" ht="28.05" customHeight="1" s="56">
      <c r="B4" s="47" t="inlineStr">
        <is>
          <t>📦  STEP 1 — INSTALL DEPENDENCIES</t>
        </is>
      </c>
      <c r="C4" s="47" t="n"/>
    </row>
    <row r="5" ht="18" customHeight="1" s="56">
      <c r="B5" s="48" t="inlineStr">
        <is>
          <t>pip install pandas numpy openpyxl</t>
        </is>
      </c>
      <c r="C5" s="42" t="n"/>
    </row>
    <row r="6" ht="18" customHeight="1" s="56">
      <c r="B6" s="48" t="inlineStr">
        <is>
          <t>pip install openai            # Only needed if using GPT insights</t>
        </is>
      </c>
      <c r="C6" s="42" t="n"/>
    </row>
    <row r="7" ht="18" customHeight="1" s="56">
      <c r="B7" s="48" t="n"/>
      <c r="C7" s="42" t="n"/>
    </row>
    <row r="8" ht="18" customHeight="1" s="56">
      <c r="B8" s="48" t="inlineStr">
        <is>
          <t># Verify installation:</t>
        </is>
      </c>
      <c r="C8" s="42" t="n"/>
    </row>
    <row r="9" ht="18" customHeight="1" s="56">
      <c r="B9" s="48" t="inlineStr">
        <is>
          <t>python -c "import pandas, openpyxl; print('✅ OK')"</t>
        </is>
      </c>
      <c r="C9" s="42" t="n"/>
    </row>
    <row r="10" ht="18" customHeight="1" s="56">
      <c r="B10" s="42" t="n"/>
      <c r="C10" s="42" t="n"/>
    </row>
    <row r="11" ht="18" customHeight="1" s="56">
      <c r="B11" s="47" t="inlineStr">
        <is>
          <t>📁  STEP 2 — FOLDER STRUCTURE</t>
        </is>
      </c>
      <c r="C11" s="47" t="n"/>
    </row>
    <row r="12" ht="18" customHeight="1" s="56">
      <c r="B12" s="42" t="inlineStr">
        <is>
          <t>YourProject/</t>
        </is>
      </c>
      <c r="C12" s="42" t="n"/>
    </row>
    <row r="13" ht="18" customHeight="1" s="56">
      <c r="B13" s="42" t="inlineStr">
        <is>
          <t>├── analytics_engine.py      ← Main Python script (see download instructions)</t>
        </is>
      </c>
      <c r="C13" s="42" t="n"/>
    </row>
    <row r="14" ht="18" customHeight="1" s="56">
      <c r="B14" s="42" t="inlineStr">
        <is>
          <t>├── Book1.xlsx               ← Your Excel workbook (rename EXCEL_FILE if needed)</t>
        </is>
      </c>
      <c r="C14" s="42" t="n"/>
    </row>
    <row r="15" ht="18" customHeight="1" s="56">
      <c r="B15" s="42" t="inlineStr">
        <is>
          <t>├── run_windows.bat          ← Windows double-click launcher</t>
        </is>
      </c>
      <c r="C15" s="42" t="n"/>
    </row>
    <row r="16" ht="18" customHeight="1" s="56">
      <c r="B16" s="42" t="inlineStr">
        <is>
          <t>├── run_mac.sh               ← Mac/Linux launcher  (chmod +x run_mac.sh)</t>
        </is>
      </c>
      <c r="C16" s="42" t="n"/>
    </row>
    <row r="17">
      <c r="B17" s="42" t="inlineStr">
        <is>
          <t>├── requirements.txt         ← pip install -r requirements.txt</t>
        </is>
      </c>
      <c r="C17" s="42" t="n"/>
    </row>
    <row r="18">
      <c r="B18" s="42" t="inlineStr">
        <is>
          <t>└── output/                  ← Auto-created: reports, logs, CSVs</t>
        </is>
      </c>
      <c r="C18" s="42" t="n"/>
    </row>
    <row r="19">
      <c r="B19" s="47" t="n"/>
      <c r="C19" s="47" t="n"/>
    </row>
    <row r="20">
      <c r="B20" s="54" t="inlineStr">
        <is>
          <t>⚙️  STEP 3 — CONFIGURE (one-time setup)</t>
        </is>
      </c>
      <c r="C20" s="42" t="n"/>
    </row>
    <row r="21">
      <c r="B21" s="54" t="inlineStr">
        <is>
          <t>1. Open Mapping_Config sheet in this workbook</t>
        </is>
      </c>
      <c r="C21" s="42" t="n"/>
    </row>
    <row r="22" ht="28.05" customHeight="1" s="56">
      <c r="B22" s="54" t="inlineStr">
        <is>
          <t>2. Set column name mappings (Date, Revenue, Product, etc.) to match Raw_Data headers</t>
        </is>
      </c>
      <c r="C22" s="42" t="n"/>
    </row>
    <row r="23" ht="18" customHeight="1" s="56">
      <c r="B23" s="54" t="inlineStr">
        <is>
          <t>3. Set Analysis Settings: Trend Window, Anomaly Threshold, Top N, etc.</t>
        </is>
      </c>
      <c r="C23" s="42" t="n"/>
    </row>
    <row r="24" ht="18" customHeight="1" s="56">
      <c r="B24" s="54" t="inlineStr">
        <is>
          <t>4. (Optional) Set Enable GPT Insights = TRUE and paste your OpenAI API key</t>
        </is>
      </c>
      <c r="C24" s="42" t="n"/>
    </row>
    <row r="25" ht="18" customHeight="1" s="56">
      <c r="B25" s="54" t="inlineStr">
        <is>
          <t>5. (Optional) Set Email Enabled = TRUE and enter recipient email addresses</t>
        </is>
      </c>
      <c r="C25" s="42" t="n"/>
    </row>
    <row r="26" ht="18" customHeight="1" s="56">
      <c r="B26" s="47" t="n"/>
      <c r="C26" s="47" t="n"/>
    </row>
    <row r="27" ht="18" customHeight="1" s="56">
      <c r="B27" s="42" t="inlineStr">
        <is>
          <t>▶️  STEP 4 — RUN THE ENGINE</t>
        </is>
      </c>
      <c r="C27" s="42" t="n"/>
    </row>
    <row r="28" ht="18" customHeight="1" s="56">
      <c r="B28" s="42" t="inlineStr">
        <is>
          <t># Line 50 of analytics_engine.py — change these to match your setup:</t>
        </is>
      </c>
      <c r="C28" s="42" t="n"/>
    </row>
    <row r="29" ht="27.6" customHeight="1" s="56">
      <c r="B29" s="42" t="inlineStr">
        <is>
          <t>EXCEL_FILE = "Book1.xlsx"   # ← Your workbook filename (must be in same folder)</t>
        </is>
      </c>
      <c r="C29" s="42" t="n"/>
    </row>
    <row r="30" ht="28.05" customHeight="1" s="56">
      <c r="B30" s="42" t="inlineStr">
        <is>
          <t>OUTPUT_DIR = Path("output") # ← Folder for reports and logs</t>
        </is>
      </c>
      <c r="C30" s="42" t="n"/>
    </row>
    <row r="31" ht="18" customHeight="1" s="56">
      <c r="B31" s="48" t="n"/>
      <c r="C31" s="42" t="n"/>
    </row>
    <row r="32" ht="18" customHeight="1" s="56">
      <c r="B32" s="48" t="inlineStr">
        <is>
          <t># Basic run (reads data, updates Summary sheet):</t>
        </is>
      </c>
      <c r="C32" s="42" t="n"/>
    </row>
    <row r="33" ht="18" customHeight="1" s="56">
      <c r="B33" s="48" t="inlineStr">
        <is>
          <t>python analytics_engine.py</t>
        </is>
      </c>
      <c r="C33" s="42" t="n"/>
    </row>
    <row r="34" ht="18" customHeight="1" s="56">
      <c r="B34" s="48" t="n"/>
      <c r="C34" s="42" t="n"/>
    </row>
    <row r="35" ht="18" customHeight="1" s="56">
      <c r="B35" s="48" t="inlineStr">
        <is>
          <t># With report files saved to output/ folder:</t>
        </is>
      </c>
      <c r="C35" s="42" t="n"/>
    </row>
    <row r="36" ht="18" customHeight="1" s="56">
      <c r="B36" s="48" t="inlineStr">
        <is>
          <t>python analytics_engine.py --report</t>
        </is>
      </c>
      <c r="C36" s="42" t="n"/>
    </row>
    <row r="37" ht="18" customHeight="1" s="56">
      <c r="B37" s="48" t="n"/>
      <c r="C37" s="42" t="n"/>
    </row>
    <row r="38" ht="18" customHeight="1" s="56">
      <c r="B38" s="48" t="inlineStr">
        <is>
          <t># With email delivery (requires SMTP env vars):</t>
        </is>
      </c>
      <c r="C38" s="42" t="n"/>
    </row>
    <row r="39" ht="18" customHeight="1" s="56">
      <c r="B39" s="49" t="inlineStr">
        <is>
          <t>python analytics_engine.py --report --email</t>
        </is>
      </c>
      <c r="C39" s="42" t="n"/>
    </row>
    <row r="40" ht="18" customHeight="1" s="56">
      <c r="B40" s="48" t="n"/>
      <c r="C40" s="42" t="n"/>
    </row>
    <row r="41" ht="18" customHeight="1" s="56">
      <c r="B41" s="42" t="inlineStr">
        <is>
          <t># Set up daily automation (8am, every day):</t>
        </is>
      </c>
      <c r="C41" s="42" t="n"/>
    </row>
    <row r="42" ht="18" customHeight="1" s="56">
      <c r="B42" s="47" t="inlineStr">
        <is>
          <t>python analytics_engine.py --schedule</t>
        </is>
      </c>
      <c r="C42" s="47" t="n"/>
    </row>
    <row r="43" ht="18" customHeight="1" s="56">
      <c r="B43" s="42" t="n"/>
      <c r="C43" s="42" t="n"/>
    </row>
    <row r="44" ht="18" customHeight="1" s="56">
      <c r="B44" s="42" t="inlineStr">
        <is>
          <t>🔗  STEP 5 — CONNECT EXCEL BUTTONS (VBA)</t>
        </is>
      </c>
      <c r="C44" s="42" t="n"/>
    </row>
    <row r="45" ht="18" customHeight="1" s="56">
      <c r="B45" s="48" t="inlineStr">
        <is>
          <t>In Excel: Alt+F11 → Insert → Module → Paste these macros:</t>
        </is>
      </c>
      <c r="C45" s="42" t="n"/>
    </row>
    <row r="46" ht="18" customHeight="1" s="56">
      <c r="B46" s="48" t="n"/>
      <c r="C46" s="42" t="n"/>
    </row>
    <row r="47" ht="18" customHeight="1" s="56">
      <c r="B47" s="48" t="inlineStr">
        <is>
          <t>Sub RunAnalysis()</t>
        </is>
      </c>
      <c r="C47" s="42" t="n"/>
    </row>
    <row r="48" ht="18" customHeight="1" s="56">
      <c r="B48" s="48" t="inlineStr">
        <is>
          <t xml:space="preserve">    ' Update the path below to where you saved the project folder</t>
        </is>
      </c>
      <c r="C48" s="42" t="n"/>
    </row>
    <row r="49" ht="22.05" customHeight="1" s="56">
      <c r="B49" s="48" t="inlineStr">
        <is>
          <t xml:space="preserve">    Shell "cmd /c cd /d ""C:\YourProject"" &amp;&amp; python analytics_engine.py", vbHide</t>
        </is>
      </c>
      <c r="C49" s="42" t="n"/>
    </row>
    <row r="50" ht="19.95" customHeight="1" s="56">
      <c r="B50" s="48" t="inlineStr">
        <is>
          <t xml:space="preserve">    MsgBox "Analysis running! Check Summary sheet in ~10 seconds.", vbInformation</t>
        </is>
      </c>
      <c r="C50" s="42" t="n"/>
    </row>
    <row r="51" ht="19.95" customHeight="1" s="56">
      <c r="B51" s="48" t="inlineStr">
        <is>
          <t>End Sub</t>
        </is>
      </c>
      <c r="C51" s="42" t="n"/>
    </row>
    <row r="52" ht="19.95" customHeight="1" s="56">
      <c r="B52" s="49" t="n"/>
      <c r="C52" s="42" t="n"/>
    </row>
    <row r="53" ht="19.95" customHeight="1" s="56">
      <c r="B53" s="48" t="inlineStr">
        <is>
          <t>Sub GenerateReport()</t>
        </is>
      </c>
      <c r="C53" s="42" t="n"/>
    </row>
    <row r="54" ht="19.95" customHeight="1" s="56">
      <c r="B54" s="48" t="inlineStr">
        <is>
          <t xml:space="preserve">    Shell "cmd /c cd /d ""C:\YourProject"" &amp;&amp; python analytics_engine.py --report", vbHide</t>
        </is>
      </c>
      <c r="C54" s="42" t="n"/>
    </row>
    <row r="55" ht="18" customHeight="1" s="56">
      <c r="B55" s="48" t="inlineStr">
        <is>
          <t xml:space="preserve">    MsgBox "Report generating! Check output/ folder.", vbInformation</t>
        </is>
      </c>
      <c r="C55" s="42" t="n"/>
    </row>
    <row r="56" ht="18" customHeight="1" s="56">
      <c r="B56" s="48" t="inlineStr">
        <is>
          <t>End Sub</t>
        </is>
      </c>
      <c r="C56" s="42" t="n"/>
    </row>
    <row r="57" ht="18" customHeight="1" s="56">
      <c r="B57" s="48" t="n"/>
      <c r="C57" s="42" t="n"/>
    </row>
    <row r="58" ht="18" customHeight="1" s="56">
      <c r="B58" s="48" t="inlineStr">
        <is>
          <t>Sub SendEmailSummary()</t>
        </is>
      </c>
      <c r="C58" s="42" t="n"/>
    </row>
    <row r="59" ht="18" customHeight="1" s="56">
      <c r="B59" s="42" t="inlineStr">
        <is>
          <t xml:space="preserve">    Shell "cmd /c cd /d ""C:\YourProject"" &amp;&amp; python analytics_engine.py --email", vbHide</t>
        </is>
      </c>
      <c r="C59" s="42" t="n"/>
    </row>
    <row r="60" ht="18" customHeight="1" s="56">
      <c r="B60" s="47" t="inlineStr">
        <is>
          <t xml:space="preserve">    MsgBox "Email sending! Check analytics.log for status.", vbInformation</t>
        </is>
      </c>
      <c r="C60" s="47" t="n"/>
    </row>
    <row r="61">
      <c r="B61" s="42" t="inlineStr">
        <is>
          <t>End Sub</t>
        </is>
      </c>
      <c r="C61" s="42" t="n"/>
    </row>
    <row r="62" ht="18" customHeight="1" s="56">
      <c r="B62" s="50" t="n"/>
      <c r="C62" s="50" t="n"/>
    </row>
    <row r="63" ht="18" customHeight="1" s="56">
      <c r="B63" s="51" t="inlineStr">
        <is>
          <t>📚  MODULE REFERENCE</t>
        </is>
      </c>
      <c r="C63" s="51" t="n"/>
    </row>
    <row r="64" ht="18" customHeight="1" s="56">
      <c r="B64" s="52" t="inlineStr">
        <is>
          <t>Module</t>
        </is>
      </c>
      <c r="C64" s="52" t="inlineStr">
        <is>
          <t>Description</t>
        </is>
      </c>
    </row>
    <row r="65" ht="18" customHeight="1" s="56">
      <c r="B65" s="51" t="inlineStr">
        <is>
          <t>ExcelIO</t>
        </is>
      </c>
      <c r="C65" s="51" t="inlineStr">
        <is>
          <t>Reads Raw_Data + Mapping_Config; writes all results back to Summary sheet</t>
        </is>
      </c>
    </row>
    <row r="66" ht="18" customHeight="1" s="56">
      <c r="B66" s="52" t="inlineStr">
        <is>
          <t>DataProcessor</t>
        </is>
      </c>
      <c r="C66" s="52" t="inlineStr">
        <is>
          <t>Cleans data: parses dates, numeric types, handles nulls, renames columns per mapping</t>
        </is>
      </c>
    </row>
    <row r="67" ht="18" customHeight="1" s="56">
      <c r="B67" s="51" t="inlineStr">
        <is>
          <t>AnalyticsEngine</t>
        </is>
      </c>
      <c r="C67" s="51" t="inlineStr">
        <is>
          <t>KPIs, monthly trends, category/region breakdowns, Z-score anomaly detection</t>
        </is>
      </c>
    </row>
    <row r="68" ht="18" customHeight="1" s="56">
      <c r="B68" s="53" t="inlineStr">
        <is>
          <t>InsightGenerator</t>
        </is>
      </c>
      <c r="C68" s="53" t="inlineStr">
        <is>
          <t>Rule-based + optional GPT insights — generates 5 business-focused narrative insights</t>
        </is>
      </c>
    </row>
    <row r="69" ht="18" customHeight="1" s="56">
      <c r="B69" s="51" t="inlineStr">
        <is>
          <t>ReportGenerator</t>
        </is>
      </c>
      <c r="C69" s="51" t="inlineStr">
        <is>
          <t>Saves CSV tables + formatted TXT report to output/ folder with timestamps</t>
        </is>
      </c>
    </row>
    <row r="70" ht="18" customHeight="1" s="56">
      <c r="B70" s="42" t="inlineStr">
        <is>
          <t>EmailSender</t>
        </is>
      </c>
      <c r="C70" s="42" t="inlineStr">
        <is>
          <t>HTML email via SMTP with KPI table + insights (credentials via env vars — never hardcode)</t>
        </is>
      </c>
    </row>
    <row r="71" ht="18" customHeight="1" s="56">
      <c r="B71" s="50" t="inlineStr">
        <is>
          <t>Scheduler</t>
        </is>
      </c>
      <c r="C71" s="50" t="inlineStr">
        <is>
          <t>Windows Task Scheduler or Linux cron — daily automated runs via --schedule flag</t>
        </is>
      </c>
    </row>
    <row r="72" ht="18" customHeight="1" s="56">
      <c r="B72" s="52" t="n"/>
      <c r="C72" s="52" t="n"/>
    </row>
    <row r="73">
      <c r="B73" s="51" t="inlineStr">
        <is>
          <t>📂  OUTPUT FILES (written to output/ folder)</t>
        </is>
      </c>
      <c r="C73" s="51" t="n"/>
    </row>
    <row r="74">
      <c r="B74" s="53" t="inlineStr">
        <is>
          <t>output/monthly_trend_YYYYMMDD_HHMM.csv</t>
        </is>
      </c>
      <c r="C74" s="53" t="inlineStr">
        <is>
          <t>Monthly revenue aggregation</t>
        </is>
      </c>
    </row>
    <row r="75">
      <c r="B75" s="51" t="inlineStr">
        <is>
          <t>output/category_breakdown_YYYYMMDD_HHMM.csv</t>
        </is>
      </c>
      <c r="C75" s="51" t="inlineStr">
        <is>
          <t>Category performance table</t>
        </is>
      </c>
    </row>
    <row r="76">
      <c r="B76" s="52" t="inlineStr">
        <is>
          <t>output/region_breakdown_YYYYMMDD_HHMM.csv</t>
        </is>
      </c>
      <c r="C76" s="52" t="inlineStr">
        <is>
          <t>Region performance table</t>
        </is>
      </c>
    </row>
    <row r="77">
      <c r="B77" s="51" t="inlineStr">
        <is>
          <t>output/anomalies_YYYYMMDD_HHMM.csv</t>
        </is>
      </c>
      <c r="C77" s="51" t="inlineStr">
        <is>
          <t>Detected revenue spikes and drops</t>
        </is>
      </c>
    </row>
    <row r="78">
      <c r="B78" s="42" t="inlineStr">
        <is>
          <t>output/insights_YYYYMMDD_HHMM.txt</t>
        </is>
      </c>
      <c r="C78" s="42" t="inlineStr">
        <is>
          <t>Human-readable business insights report</t>
        </is>
      </c>
    </row>
    <row r="79">
      <c r="B79" s="42" t="inlineStr">
        <is>
          <t>output/analytics.log</t>
        </is>
      </c>
      <c r="C79" s="42" t="inlineStr">
        <is>
          <t>Full execution log with timestamps and error details</t>
        </is>
      </c>
    </row>
    <row r="80">
      <c r="B80" s="42" t="n"/>
      <c r="C80" s="42" t="n"/>
    </row>
    <row r="81">
      <c r="B81" s="42" t="inlineStr">
        <is>
          <t>📧  EMAIL SETUP (environment variables — never put passwords in code)</t>
        </is>
      </c>
      <c r="C81" s="42" t="n"/>
    </row>
    <row r="82">
      <c r="B82" s="42" t="inlineStr">
        <is>
          <t>export SMTP_HOST=smtp.gmail.com      # or your company SMTP server</t>
        </is>
      </c>
      <c r="C82" s="42" t="n"/>
    </row>
    <row r="83">
      <c r="B83" s="42" t="inlineStr">
        <is>
          <t>export SMTP_PORT=587</t>
        </is>
      </c>
      <c r="C83" s="42" t="n"/>
    </row>
    <row r="84">
      <c r="B84" s="47" t="inlineStr">
        <is>
          <t>export SMTP_USER=you@company.com</t>
        </is>
      </c>
      <c r="C84" s="47" t="n"/>
    </row>
    <row r="85" ht="27.6" customHeight="1" s="56">
      <c r="B85" s="42" t="inlineStr">
        <is>
          <t>export SMTP_PASS=your_app_password   # Use Gmail App Password, not main password</t>
        </is>
      </c>
      <c r="C85" s="42" t="n"/>
    </row>
    <row r="86">
      <c r="B86" s="42" t="n"/>
      <c r="C86" s="42" t="n"/>
    </row>
    <row r="87">
      <c r="B87" s="42" t="inlineStr">
        <is>
          <t># On Windows, use System Environment Variables or PowerShell:</t>
        </is>
      </c>
      <c r="C87" s="42" t="n"/>
    </row>
    <row r="88">
      <c r="B88" s="48" t="inlineStr">
        <is>
          <t>$env:SMTP_USER = "you@company.com"</t>
        </is>
      </c>
      <c r="C88" s="42" t="n"/>
    </row>
    <row r="89">
      <c r="B89" s="48" t="inlineStr">
        <is>
          <t>$env:SMTP_PASS = "your_app_password"</t>
        </is>
      </c>
      <c r="C89" s="42" t="n"/>
    </row>
    <row r="90">
      <c r="B90" s="48" t="n"/>
      <c r="C90" s="42" t="n"/>
    </row>
    <row r="91">
      <c r="B91" s="48" t="inlineStr">
        <is>
          <t>⏰  DAILY SCHEDULER</t>
        </is>
      </c>
      <c r="C91" s="42" t="n"/>
    </row>
    <row r="92">
      <c r="B92" s="48" t="inlineStr">
        <is>
          <t># Run once to configure — works on Windows and Mac/Linux:</t>
        </is>
      </c>
      <c r="C92" s="42" t="n"/>
    </row>
    <row r="93">
      <c r="B93" s="48" t="inlineStr">
        <is>
          <t>python analytics_engine.py --schedule</t>
        </is>
      </c>
      <c r="C93" s="42" t="n"/>
    </row>
    <row r="94">
      <c r="B94" s="48" t="n"/>
      <c r="C94" s="42" t="n"/>
    </row>
    <row r="95" ht="24.6" customHeight="1" s="56">
      <c r="B95" s="48" t="inlineStr">
        <is>
          <t># Windows: creates Task Scheduler task 'AI_Analytics_Daily' (runs at 08:00)</t>
        </is>
      </c>
      <c r="C95" s="42" t="n"/>
    </row>
    <row r="96" ht="24.6" customHeight="1" s="56">
      <c r="B96" s="48" t="inlineStr">
        <is>
          <t># Mac/Linux: writes cron entry:  0 8 * * * python3 /path/analytics_engine.py --report</t>
        </is>
      </c>
      <c r="C96" s="4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 krishna</dc:creator>
  <dcterms:created xsi:type="dcterms:W3CDTF">2026-03-30T19:20:52Z</dcterms:created>
  <dcterms:modified xsi:type="dcterms:W3CDTF">2026-03-30T21:02:02Z</dcterms:modified>
  <cp:lastModifiedBy>KOMMINA REDDY KRISHNA</cp:lastModifiedBy>
</cp:coreProperties>
</file>