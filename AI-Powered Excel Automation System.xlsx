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cebschool-my.sharepoint.com/personal/rkomminabtech22_ced_alliance_edu_in/Documents/Documents/Custom Office Templates/"/>
    </mc:Choice>
  </mc:AlternateContent>
  <xr:revisionPtr revIDLastSave="0" documentId="8_{21B6147F-351D-41B8-88C4-74CD53A4A1B3}" xr6:coauthVersionLast="47" xr6:coauthVersionMax="47" xr10:uidLastSave="{00000000-0000-0000-0000-000000000000}"/>
  <bookViews>
    <workbookView xWindow="-108" yWindow="-108" windowWidth="23256" windowHeight="12456" activeTab="4" xr2:uid="{B071DE1F-3073-4351-8640-080DC22777D8}"/>
  </bookViews>
  <sheets>
    <sheet name="Control_Panel" sheetId="4" r:id="rId1"/>
    <sheet name="Raw_Data" sheetId="2" r:id="rId2"/>
    <sheet name="Mapping_Config" sheetId="3" r:id="rId3"/>
    <sheet name="Summary" sheetId="5" r:id="rId4"/>
    <sheet name="Python_Cod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5" l="1"/>
  <c r="G27" i="5"/>
  <c r="G26" i="5"/>
  <c r="G25" i="5"/>
  <c r="G24" i="5"/>
  <c r="G23" i="5"/>
  <c r="G22" i="5"/>
  <c r="G21" i="5"/>
  <c r="G20" i="5"/>
  <c r="G19" i="5"/>
  <c r="G18" i="5"/>
  <c r="G17" i="5"/>
  <c r="F11" i="4"/>
  <c r="F10" i="4"/>
  <c r="F9" i="4"/>
  <c r="F8" i="4"/>
  <c r="F7" i="4"/>
  <c r="F6" i="4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<sst xmlns="http://schemas.openxmlformats.org/spreadsheetml/2006/main" count="594" uniqueCount="243">
  <si>
    <t>Date</t>
  </si>
  <si>
    <t>Product</t>
  </si>
  <si>
    <t>Category</t>
  </si>
  <si>
    <t>Region</t>
  </si>
  <si>
    <t>Units_Sold</t>
  </si>
  <si>
    <t>Revenue</t>
  </si>
  <si>
    <t>Cost</t>
  </si>
  <si>
    <t>Customer_Segment</t>
  </si>
  <si>
    <t>Laptop</t>
  </si>
  <si>
    <t>Electronics</t>
  </si>
  <si>
    <t>North</t>
  </si>
  <si>
    <t>Retail</t>
  </si>
  <si>
    <t>Sneakers</t>
  </si>
  <si>
    <t>Apparel</t>
  </si>
  <si>
    <t>South</t>
  </si>
  <si>
    <t>Wholesale</t>
  </si>
  <si>
    <t>Garden Tools</t>
  </si>
  <si>
    <t>Home &amp; Garden</t>
  </si>
  <si>
    <t>East</t>
  </si>
  <si>
    <t>Online</t>
  </si>
  <si>
    <t>Treadmill</t>
  </si>
  <si>
    <t>Sports</t>
  </si>
  <si>
    <t>West</t>
  </si>
  <si>
    <t>⚙️  COLUMN MAPPING CONFIGURATION — Map your dataset columns to system fields</t>
  </si>
  <si>
    <t>Step 1: Paste your CSV headers into the 'Available Columns' list (column H). Step 2: Select the correct column for each field using the yellow dropdowns (column B).</t>
  </si>
  <si>
    <t>System Field</t>
  </si>
  <si>
    <t>Mapped Column ▾</t>
  </si>
  <si>
    <t>Required?</t>
  </si>
  <si>
    <t>Description</t>
  </si>
  <si>
    <t>Data Type</t>
  </si>
  <si>
    <t>Status</t>
  </si>
  <si>
    <t>Date / Transaction Date</t>
  </si>
  <si>
    <t>REQUIRED</t>
  </si>
  <si>
    <t>Date column (YYYY-MM-DD preferred)</t>
  </si>
  <si>
    <t>Revenue / Sales Amount</t>
  </si>
  <si>
    <t>Primary revenue/sales numeric column</t>
  </si>
  <si>
    <t>Number</t>
  </si>
  <si>
    <t>Product / Item Name</t>
  </si>
  <si>
    <t>Product or item name column</t>
  </si>
  <si>
    <t>Text</t>
  </si>
  <si>
    <t>Category / Department</t>
  </si>
  <si>
    <t>Category grouping column</t>
  </si>
  <si>
    <t>Region / Territory</t>
  </si>
  <si>
    <t>OPTIONAL</t>
  </si>
  <si>
    <t>Geographic region column</t>
  </si>
  <si>
    <t>Cost / COGS</t>
  </si>
  <si>
    <t>Cost of goods / expenses column</t>
  </si>
  <si>
    <t>Units / Quantity</t>
  </si>
  <si>
    <t>Unit volume column</t>
  </si>
  <si>
    <t>Customer Segment</t>
  </si>
  <si>
    <t>Customer type/tier column</t>
  </si>
  <si>
    <t>Available CSV Columns (auto-detected from Raw_Data)</t>
  </si>
  <si>
    <t>📊  ANALYSIS SETTINGS</t>
  </si>
  <si>
    <t xml:space="preserve"> </t>
  </si>
  <si>
    <t>Trend Detection Window (months)</t>
  </si>
  <si>
    <t>Months to compare for growth calculation</t>
  </si>
  <si>
    <t>Anomaly Threshold (%)</t>
  </si>
  <si>
    <t>% change flagged as spike or drop</t>
  </si>
  <si>
    <t>Top N Categories</t>
  </si>
  <si>
    <t>Number of top categories to surface</t>
  </si>
  <si>
    <t>Enable GPT Insights</t>
  </si>
  <si>
    <t>TRUE = call OpenAI API for narrative insights</t>
  </si>
  <si>
    <t>GPT API Key</t>
  </si>
  <si>
    <t>sk-...</t>
  </si>
  <si>
    <t>Paste OpenAI API key (kept local, never transmitted)</t>
  </si>
  <si>
    <t>Report Output Path</t>
  </si>
  <si>
    <t>output/</t>
  </si>
  <si>
    <t>Relative folder for saving PDF/CSV reports</t>
  </si>
  <si>
    <t>Email Report On Completion</t>
  </si>
  <si>
    <t>TRUE = send email after each run</t>
  </si>
  <si>
    <t>Email Recipients</t>
  </si>
  <si>
    <t>Comma-separated: user1@co.com,user2@co.com</t>
  </si>
  <si>
    <t>🤖  AI-POWERED ANALYTICS ENGINE — CONTROL PANEL</t>
  </si>
  <si>
    <t>Enterprise reporting | pandas analytics | AI-generated insights | Auto-updating dashboard</t>
  </si>
  <si>
    <t>📋  WORKFLOW — HOW TO USE THIS SYSTEM</t>
  </si>
  <si>
    <t>STEP 1</t>
  </si>
  <si>
    <t>📂  Upload / paste your CSV into Raw_Data sheet (replace sample rows, keep or update headers)</t>
  </si>
  <si>
    <t>STEP 2</t>
  </si>
  <si>
    <t>⚙️  Go to Mapping_Config → use yellow dropdowns in column B to map columns to system fields</t>
  </si>
  <si>
    <t>STEP 3</t>
  </si>
  <si>
    <t>🔧  Set Analysis Settings in Mapping_Config (threshold, GPT toggle, output path)</t>
  </si>
  <si>
    <t>STEP 4</t>
  </si>
  <si>
    <t>▶️  Run: python analytics_engine.py  (from terminal or via .bat / shell script)</t>
  </si>
  <si>
    <t>STEP 5</t>
  </si>
  <si>
    <t>📊  Results auto-populate in Summary sheet — KPIs, trends, AI insights, charts</t>
  </si>
  <si>
    <t>📌  QUICK COMMANDS</t>
  </si>
  <si>
    <t>▶  RUN ANALYSIS  →  python analytics_engine.py</t>
  </si>
  <si>
    <t>Cleans data, runs trends, generates insights, updates Summary sheet</t>
  </si>
  <si>
    <t>📄  GENERATE REPORT  →  python analytics_engine.py --report</t>
  </si>
  <si>
    <t>Saves PDF + CSV summary to output/ folder</t>
  </si>
  <si>
    <t>📧  EMAIL REPORT  →  python analytics_engine.py --email</t>
  </si>
  <si>
    <t>Sends formatted HTML email to recipients in Mapping_Config</t>
  </si>
  <si>
    <t>🔁  SCHEDULE DAILY  →  python analytics_engine.py --schedule</t>
  </si>
  <si>
    <t>Sets up cron/Task Scheduler for automatic daily runs at 08:00</t>
  </si>
  <si>
    <t>🔗  VBA MACRO — Assign to Excel button (Alt+F11 → Insert Module)</t>
  </si>
  <si>
    <t>Sub RunAnalysis()</t>
  </si>
  <si>
    <t xml:space="preserve">  Shell "cmd /c cd /d C:\YourProject &amp;&amp; python analytics_engine.py", vbHide</t>
  </si>
  <si>
    <t>End Sub</t>
  </si>
  <si>
    <t>Sub GenerateReport()</t>
  </si>
  <si>
    <t xml:space="preserve">  Shell "cmd /c cd /d C:\YourProject &amp;&amp; python analytics_engine.py --report", vbHide</t>
  </si>
  <si>
    <t xml:space="preserve"> Mac: use AppleScript  →  do shell script "cd ~/YourProject &amp;&amp; python3 analytics_engine.py"</t>
  </si>
  <si>
    <t>📊  LIVE SYSTEM STATUS</t>
  </si>
  <si>
    <t>Raw Data Rows</t>
  </si>
  <si>
    <t>Raw Data Columns</t>
  </si>
  <si>
    <t>Mapped Fields</t>
  </si>
  <si>
    <t>Unmapped Required</t>
  </si>
  <si>
    <t>GPT Insights</t>
  </si>
  <si>
    <t>Email Enabled</t>
  </si>
  <si>
    <t>Analysis Status</t>
  </si>
  <si>
    <t>⏳ Awaiting run...</t>
  </si>
  <si>
    <t>Last Updated</t>
  </si>
  <si>
    <t>—</t>
  </si>
  <si>
    <t>📊  AI ANALYTICS DASHBOARD</t>
  </si>
  <si>
    <t>Auto-generated by Analytics Engine | Powered by pandas + AI Insight Layer</t>
  </si>
  <si>
    <t>Last Run: —</t>
  </si>
  <si>
    <t>⚡  KEY PERFORMANCE INDICATORS</t>
  </si>
  <si>
    <t>💰 Total Revenue</t>
  </si>
  <si>
    <t>📦 Total Units</t>
  </si>
  <si>
    <t>📈 Avg Monthly Growth</t>
  </si>
  <si>
    <t>🏆 Top Category</t>
  </si>
  <si>
    <t>🌍 Top Region</t>
  </si>
  <si>
    <t>⚠️ Anomalies Detected</t>
  </si>
  <si>
    <t>YTD / All Time</t>
  </si>
  <si>
    <t>Across all products</t>
  </si>
  <si>
    <t>vs. Prior period</t>
  </si>
  <si>
    <t>By revenue</t>
  </si>
  <si>
    <t>Spikes / drops</t>
  </si>
  <si>
    <t>🤖  AI-GENERATED BUSINESS INSIGHTS</t>
  </si>
  <si>
    <t>📈  TREND</t>
  </si>
  <si>
    <t>Run analysis to generate trend insight...</t>
  </si>
  <si>
    <t>🏆  TOP PERFORMER</t>
  </si>
  <si>
    <t>Run analysis to generate top performer insight...</t>
  </si>
  <si>
    <t>⚠️  ANOMALY</t>
  </si>
  <si>
    <t>Run analysis to generate anomaly insight...</t>
  </si>
  <si>
    <t>📉  RISK</t>
  </si>
  <si>
    <t>Run analysis to generate risk insight...</t>
  </si>
  <si>
    <t>💡  RECOMMENDATION</t>
  </si>
  <si>
    <t>Run analysis to generate AI recommendation...</t>
  </si>
  <si>
    <t>📅  MONTHLY REVENUE TREND</t>
  </si>
  <si>
    <t>Month</t>
  </si>
  <si>
    <t>Units</t>
  </si>
  <si>
    <t>Avg Order</t>
  </si>
  <si>
    <t>MoM Growth</t>
  </si>
  <si>
    <t>MoM Δ</t>
  </si>
  <si>
    <t>Trend</t>
  </si>
  <si>
    <t>🏆  TOP CATEGORIES / PRODUCTS</t>
  </si>
  <si>
    <t>Margin%</t>
  </si>
  <si>
    <t>Share%</t>
  </si>
  <si>
    <t>vs PY</t>
  </si>
  <si>
    <t>🌍  REGION PERFORMANCE</t>
  </si>
  <si>
    <t>Growth%</t>
  </si>
  <si>
    <t>Rank</t>
  </si>
  <si>
    <t>⚠️  ANOMALIES &amp; ALERTS</t>
  </si>
  <si>
    <t>Metric</t>
  </si>
  <si>
    <t>Value</t>
  </si>
  <si>
    <t>Expected</t>
  </si>
  <si>
    <t>Deviation%</t>
  </si>
  <si>
    <t>Severity</t>
  </si>
  <si>
    <t>⚙️  System: AI Analytics Engine v2.0  |  Built with pandas, openpyxl, rule-based + GPT insights  |  Update Raw_Data → run python analytics_engine.py → dashboard refreshes</t>
  </si>
  <si>
    <t>🐍  PYTHON ANALYTICS ENGINE — COMPLETE SETUP GUIDE</t>
  </si>
  <si>
    <t>analytics_engine.py  |  7 modules  |  pandas + openpyxl + AI insights  |  v2.0</t>
  </si>
  <si>
    <t>📦  STEP 1 — INSTALL DEPENDENCIES</t>
  </si>
  <si>
    <t>▶️  STEP 4 — RUN THE ENGINE</t>
  </si>
  <si>
    <t>pip install pandas numpy openpyxl</t>
  </si>
  <si>
    <t>pip install openai            # Only needed if using GPT insights</t>
  </si>
  <si>
    <t>YourProject/</t>
  </si>
  <si>
    <t>python analytics_engine.py</t>
  </si>
  <si>
    <t>python analytics_engine.py --report</t>
  </si>
  <si>
    <t>python analytics_engine.py --report --email</t>
  </si>
  <si>
    <t xml:space="preserve">    MsgBox "Analysis running! Check Summary sheet in ~10 seconds.", vbInformation</t>
  </si>
  <si>
    <t xml:space="preserve">    Shell "cmd /c cd /d ""C:\YourProject"" &amp;&amp; python analytics_engine.py --report", vbHide</t>
  </si>
  <si>
    <t>ExcelIO</t>
  </si>
  <si>
    <t>DataProcessor</t>
  </si>
  <si>
    <t>AnalyticsEngine</t>
  </si>
  <si>
    <t>InsightGenerator</t>
  </si>
  <si>
    <t>ReportGenerator</t>
  </si>
  <si>
    <t>EmailSender</t>
  </si>
  <si>
    <t>Scheduler</t>
  </si>
  <si>
    <t>python analytics_engine.py --schedule</t>
  </si>
  <si>
    <t>export SMTP_PORT=587</t>
  </si>
  <si>
    <t>export SMTP_USER=you@company.com</t>
  </si>
  <si>
    <t># Verify installation:</t>
  </si>
  <si>
    <t>python -c "import pandas, openpyxl; print('✅ OK')"</t>
  </si>
  <si>
    <t>📁  STEP 2 — FOLDER STRUCTURE</t>
  </si>
  <si>
    <t>├── analytics_engine.py      ← Main Python script (see download instructions)</t>
  </si>
  <si>
    <t>├── Book1.xlsx               ← Your Excel workbook (rename EXCEL_FILE if needed)</t>
  </si>
  <si>
    <t>├── run_windows.bat          ← Windows double-click launcher</t>
  </si>
  <si>
    <t>├── run_mac.sh               ← Mac/Linux launcher  (chmod +x run_mac.sh)</t>
  </si>
  <si>
    <t>├── requirements.txt         ← pip install -r requirements.txt</t>
  </si>
  <si>
    <t>└── output/                  ← Auto-created: reports, logs, CSVs</t>
  </si>
  <si>
    <t>⚙️  STEP 3 — CONFIGURE (one-time setup)</t>
  </si>
  <si>
    <t>1. Open Mapping_Config sheet in this workbook</t>
  </si>
  <si>
    <t>2. Set column name mappings (Date, Revenue, Product, etc.) to match Raw_Data headers</t>
  </si>
  <si>
    <t>3. Set Analysis Settings: Trend Window, Anomaly Threshold, Top N, etc.</t>
  </si>
  <si>
    <t>4. (Optional) Set Enable GPT Insights = TRUE and paste your OpenAI API key</t>
  </si>
  <si>
    <t>5. (Optional) Set Email Enabled = TRUE and enter recipient email addresses</t>
  </si>
  <si>
    <t># Line 50 of analytics_engine.py — change these to match your setup:</t>
  </si>
  <si>
    <t>EXCEL_FILE = "Book1.xlsx"   # ← Your workbook filename (must be in same folder)</t>
  </si>
  <si>
    <t>OUTPUT_DIR = Path("output") # ← Folder for reports and logs</t>
  </si>
  <si>
    <t># Basic run (reads data, updates Summary sheet):</t>
  </si>
  <si>
    <t># With report files saved to output/ folder:</t>
  </si>
  <si>
    <t># With email delivery (requires SMTP env vars):</t>
  </si>
  <si>
    <t># Set up daily automation (8am, every day):</t>
  </si>
  <si>
    <t>🔗  STEP 5 — CONNECT EXCEL BUTTONS (VBA)</t>
  </si>
  <si>
    <t>In Excel: Alt+F11 → Insert → Module → Paste these macros:</t>
  </si>
  <si>
    <t xml:space="preserve">    ' Update the path below to where you saved the project folder</t>
  </si>
  <si>
    <t xml:space="preserve">    Shell "cmd /c cd /d ""C:\YourProject"" &amp;&amp; python analytics_engine.py", vbHide</t>
  </si>
  <si>
    <t xml:space="preserve">    MsgBox "Report generating! Check output/ folder.", vbInformation</t>
  </si>
  <si>
    <t>Sub SendEmailSummary()</t>
  </si>
  <si>
    <t xml:space="preserve">    Shell "cmd /c cd /d ""C:\YourProject"" &amp;&amp; python analytics_engine.py --email", vbHide</t>
  </si>
  <si>
    <t xml:space="preserve">    MsgBox "Email sending! Check analytics.log for status.", vbInformation</t>
  </si>
  <si>
    <t>📚  MODULE REFERENCE</t>
  </si>
  <si>
    <t>Module</t>
  </si>
  <si>
    <t>Reads Raw_Data + Mapping_Config; writes all results back to Summary sheet</t>
  </si>
  <si>
    <t>Cleans data: parses dates, numeric types, handles nulls, renames columns per mapping</t>
  </si>
  <si>
    <t>KPIs, monthly trends, category/region breakdowns, Z-score anomaly detection</t>
  </si>
  <si>
    <t>Rule-based + optional GPT insights — generates 5 business-focused narrative insights</t>
  </si>
  <si>
    <t>Saves CSV tables + formatted TXT report to output/ folder with timestamps</t>
  </si>
  <si>
    <t>HTML email via SMTP with KPI table + insights (credentials via env vars — never hardcode)</t>
  </si>
  <si>
    <t>Windows Task Scheduler or Linux cron — daily automated runs via --schedule flag</t>
  </si>
  <si>
    <t>📂  OUTPUT FILES (written to output/ folder)</t>
  </si>
  <si>
    <t>output/monthly_trend_YYYYMMDD_HHMM.csv</t>
  </si>
  <si>
    <t>Monthly revenue aggregation</t>
  </si>
  <si>
    <t>output/category_breakdown_YYYYMMDD_HHMM.csv</t>
  </si>
  <si>
    <t>Category performance table</t>
  </si>
  <si>
    <t>output/region_breakdown_YYYYMMDD_HHMM.csv</t>
  </si>
  <si>
    <t>Region performance table</t>
  </si>
  <si>
    <t>output/anomalies_YYYYMMDD_HHMM.csv</t>
  </si>
  <si>
    <t>Detected revenue spikes and drops</t>
  </si>
  <si>
    <t>output/insights_YYYYMMDD_HHMM.txt</t>
  </si>
  <si>
    <t>Human-readable business insights report</t>
  </si>
  <si>
    <t>output/analytics.log</t>
  </si>
  <si>
    <t>Full execution log with timestamps and error details</t>
  </si>
  <si>
    <t>📧  EMAIL SETUP (environment variables — never put passwords in code)</t>
  </si>
  <si>
    <t>export SMTP_HOST=smtp.gmail.com      # or your company SMTP server</t>
  </si>
  <si>
    <t>export SMTP_PASS=your_app_password   # Use Gmail App Password, not main password</t>
  </si>
  <si>
    <t># On Windows, use System Environment Variables or PowerShell:</t>
  </si>
  <si>
    <t>$env:SMTP_USER = "you@company.com"</t>
  </si>
  <si>
    <t>$env:SMTP_PASS = "your_app_password"</t>
  </si>
  <si>
    <t>⏰  DAILY SCHEDULER</t>
  </si>
  <si>
    <t># Run once to configure — works on Windows and Mac/Linux:</t>
  </si>
  <si>
    <t># Windows: creates Task Scheduler task 'AI_Analytics_Daily' (runs at 08:00)</t>
  </si>
  <si>
    <t># Mac/Linux: writes cron entry:  0 8 * * * python3 /path/analytics_engine.py --report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</si>
</sst>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5" formatCode="&quot;₹&quot;#,##0.00"/>
    <numFmt numFmtId="166" formatCode="&quot;₹&quot;#,##0"/>
    <numFmt numFmtId="167" formatCode="0.0%"/>
    <numFmt numFmtId="168" formatCode="mm/dd/yyyy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0"/>
      <color rgb="FF37562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b/>
      <sz val="11"/>
      <color rgb="FFC55A11"/>
      <name val="Aptos Narrow"/>
      <family val="2"/>
      <scheme val="minor"/>
    </font>
    <font>
      <sz val="10"/>
      <color rgb="FF00FF88"/>
      <name val="Courier New"/>
    </font>
    <font>
      <b/>
      <sz val="24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1"/>
      <color rgb="FFFFFFC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i/>
      <sz val="10"/>
      <color rgb="FF333333"/>
      <name val="Aptos Narrow"/>
      <family val="2"/>
      <scheme val="minor"/>
    </font>
    <font>
      <sz val="10"/>
      <color rgb="FF000000"/>
      <name val="Calibri"/>
    </font>
    <font>
      <sz val="10"/>
      <color rgb="FFFFFFFF"/>
      <name val="Calibri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0"/>
      <color rgb="FF1F4E79"/>
      <name val="Calibri"/>
    </font>
    <font>
      <sz val="9"/>
      <color rgb="FF1E3A5F"/>
      <name val="Courier New"/>
    </font>
    <font>
      <b/>
      <sz val="10"/>
      <color rgb="FFFFFFFF"/>
      <name val="Calibri"/>
    </font>
    <font>
      <sz val="10"/>
      <color rgb="FF444444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F7EC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8D7F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65" fontId="0" fillId="3" borderId="0" xfId="0" applyNumberFormat="1" applyFill="1"/>
    <xf numFmtId="165" fontId="0" fillId="4" borderId="0" xfId="0" applyNumberFormat="1" applyFill="1"/>
    <xf numFmtId="0" fontId="0" fillId="0" borderId="0" xfId="0"/>
    <xf numFmtId="0" fontId="3" fillId="5" borderId="0" xfId="0" applyFont="1" applyFill="1" applyAlignment="1">
      <alignment horizontal="left"/>
    </xf>
    <xf numFmtId="0" fontId="4" fillId="6" borderId="0" xfId="0" applyFont="1" applyFill="1"/>
    <xf numFmtId="0" fontId="2" fillId="5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5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4" borderId="0" xfId="0" applyFill="1" applyAlignment="1">
      <alignment horizontal="center"/>
    </xf>
    <xf numFmtId="0" fontId="5" fillId="4" borderId="0" xfId="0" applyFont="1" applyFill="1"/>
    <xf numFmtId="0" fontId="1" fillId="4" borderId="0" xfId="0" applyFont="1" applyFill="1"/>
    <xf numFmtId="0" fontId="6" fillId="7" borderId="0" xfId="0" applyFont="1" applyFill="1"/>
    <xf numFmtId="0" fontId="6" fillId="4" borderId="0" xfId="0" applyFont="1" applyFill="1"/>
    <xf numFmtId="0" fontId="0" fillId="9" borderId="0" xfId="0" applyFill="1"/>
    <xf numFmtId="0" fontId="7" fillId="2" borderId="0" xfId="0" applyFont="1" applyFill="1"/>
    <xf numFmtId="0" fontId="1" fillId="9" borderId="0" xfId="0" applyFont="1" applyFill="1"/>
    <xf numFmtId="0" fontId="8" fillId="2" borderId="0" xfId="0" applyFont="1" applyFill="1" applyAlignment="1">
      <alignment horizontal="left"/>
    </xf>
    <xf numFmtId="0" fontId="9" fillId="9" borderId="0" xfId="0" applyFont="1" applyFill="1"/>
    <xf numFmtId="0" fontId="3" fillId="2" borderId="0" xfId="0" applyFont="1" applyFill="1"/>
    <xf numFmtId="0" fontId="0" fillId="2" borderId="0" xfId="0" applyFill="1"/>
    <xf numFmtId="0" fontId="10" fillId="10" borderId="0" xfId="0" applyFont="1" applyFill="1"/>
    <xf numFmtId="0" fontId="0" fillId="10" borderId="0" xfId="0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3" fillId="2" borderId="0" xfId="0" applyFont="1" applyFill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>
      <alignment horizontal="center"/>
    </xf>
    <xf numFmtId="0" fontId="0" fillId="12" borderId="0" xfId="0" applyFill="1"/>
    <xf numFmtId="0" fontId="3" fillId="13" borderId="0" xfId="0" applyFont="1" applyFill="1"/>
    <xf numFmtId="0" fontId="3" fillId="13" borderId="0" xfId="0" applyFont="1" applyFill="1" applyAlignment="1">
      <alignment horizontal="center"/>
    </xf>
    <xf numFmtId="0" fontId="0" fillId="14" borderId="0" xfId="0" applyFill="1"/>
    <xf numFmtId="0" fontId="7" fillId="13" borderId="0" xfId="0" applyFont="1" applyFill="1"/>
    <xf numFmtId="0" fontId="11" fillId="15" borderId="0" xfId="0" applyFont="1" applyFill="1"/>
    <xf numFmtId="0" fontId="11" fillId="15" borderId="0" xfId="0" quotePrefix="1" applyFont="1" applyFill="1"/>
    <xf numFmtId="0" fontId="1" fillId="8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15" fillId="2" borderId="0" xfId="0" applyFont="1" applyFill="1" applyAlignment="1">
      <alignment horizontal="center"/>
    </xf>
    <xf numFmtId="6" fontId="16" fillId="9" borderId="0" xfId="0" applyNumberFormat="1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10" fontId="16" fillId="9" borderId="0" xfId="0" applyNumberFormat="1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8" fillId="17" borderId="0" xfId="0" applyFont="1" applyFill="1" applyAlignment="1">
      <alignment wrapText="1"/>
    </xf>
    <xf numFmtId="0" fontId="0" fillId="17" borderId="0" xfId="0" applyFill="1"/>
    <xf numFmtId="0" fontId="18" fillId="18" borderId="0" xfId="0" applyFont="1" applyFill="1" applyAlignment="1">
      <alignment wrapText="1"/>
    </xf>
    <xf numFmtId="0" fontId="0" fillId="18" borderId="0" xfId="0" applyFill="1"/>
    <xf numFmtId="0" fontId="18" fillId="19" borderId="0" xfId="0" applyFont="1" applyFill="1" applyAlignment="1">
      <alignment wrapText="1"/>
    </xf>
    <xf numFmtId="0" fontId="0" fillId="19" borderId="0" xfId="0" applyFill="1"/>
    <xf numFmtId="0" fontId="18" fillId="20" borderId="0" xfId="0" applyFont="1" applyFill="1" applyAlignment="1">
      <alignment wrapText="1"/>
    </xf>
    <xf numFmtId="0" fontId="0" fillId="20" borderId="0" xfId="0" applyFill="1"/>
    <xf numFmtId="0" fontId="18" fillId="21" borderId="0" xfId="0" applyFont="1" applyFill="1" applyAlignment="1">
      <alignment wrapText="1"/>
    </xf>
    <xf numFmtId="0" fontId="0" fillId="21" borderId="0" xfId="0" applyFill="1"/>
    <xf numFmtId="166" fontId="0" fillId="4" borderId="0" xfId="0" applyNumberFormat="1" applyFill="1"/>
    <xf numFmtId="166" fontId="0" fillId="9" borderId="0" xfId="0" applyNumberFormat="1" applyFill="1"/>
    <xf numFmtId="167" fontId="0" fillId="4" borderId="0" xfId="0" applyNumberFormat="1" applyFill="1"/>
    <xf numFmtId="167" fontId="0" fillId="9" borderId="0" xfId="0" applyNumberFormat="1" applyFill="1"/>
    <xf numFmtId="0" fontId="2" fillId="13" borderId="0" xfId="0" applyFont="1" applyFill="1" applyAlignment="1">
      <alignment horizontal="center"/>
    </xf>
    <xf numFmtId="0" fontId="3" fillId="22" borderId="0" xfId="0" applyFont="1" applyFill="1"/>
    <xf numFmtId="0" fontId="2" fillId="22" borderId="0" xfId="0" applyFont="1" applyFill="1" applyAlignment="1">
      <alignment horizontal="center"/>
    </xf>
    <xf numFmtId="0" fontId="17" fillId="23" borderId="0" xfId="0" applyFont="1" applyFill="1"/>
    <xf numFmtId="168" fontId="0" fillId="3" borderId="0" xfId="0" applyNumberFormat="1" applyFill="1"/>
    <xf numFmtId="168" fontId="0" fillId="4" borderId="0" xfId="0" applyNumberFormat="1" applyFill="1"/>
    <xf numFmtId="49" fontId="2" fillId="2" borderId="0" xfId="0" applyNumberFormat="1" applyFont="1" applyFill="1" applyAlignment="1">
      <alignment horizontal="center"/>
    </xf>
    <xf numFmtId="0" fontId="19" fillId="0" borderId="0" xfId="0" applyFont="1" applyFill="1" applyAlignment="1">
      <alignment wrapText="1"/>
    </xf>
    <xf numFmtId="0" fontId="21" fillId="2" borderId="0" xfId="0" applyFont="1" applyFill="1" applyAlignment="1">
      <alignment horizontal="left" wrapText="1"/>
    </xf>
    <xf numFmtId="0" fontId="21" fillId="2" borderId="0" xfId="0" applyFont="1" applyFill="1" applyAlignment="1">
      <alignment wrapText="1"/>
    </xf>
    <xf numFmtId="0" fontId="22" fillId="24" borderId="0" xfId="0" applyFont="1" applyFill="1" applyAlignment="1">
      <alignment wrapText="1"/>
    </xf>
    <xf numFmtId="0" fontId="20" fillId="24" borderId="0" xfId="0" applyFont="1" applyFill="1" applyAlignment="1">
      <alignment wrapText="1"/>
    </xf>
    <xf numFmtId="0" fontId="23" fillId="25" borderId="0" xfId="0" applyFont="1" applyFill="1" applyAlignment="1">
      <alignment wrapText="1"/>
    </xf>
    <xf numFmtId="0" fontId="24" fillId="26" borderId="0" xfId="0" applyFont="1" applyFill="1" applyAlignment="1">
      <alignment wrapText="1"/>
    </xf>
    <xf numFmtId="0" fontId="24" fillId="26" borderId="0" xfId="0" quotePrefix="1" applyFont="1" applyFill="1" applyAlignment="1">
      <alignment wrapText="1"/>
    </xf>
    <xf numFmtId="0" fontId="25" fillId="2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23" fillId="3" borderId="0" xfId="0" applyFont="1" applyFill="1" applyAlignment="1">
      <alignment wrapText="1"/>
    </xf>
    <xf numFmtId="0" fontId="26" fillId="0" borderId="0" xfId="0" applyFont="1" applyFill="1" applyAlignment="1">
      <alignment wrapText="1"/>
    </xf>
  </cellXfs>
  <cellStyles count="1">
    <cellStyle name="Normal" xfId="0" builtinId="0"/>
  </cellStyles>
  <dxfs count="10">
    <dxf>
      <numFmt numFmtId="168" formatCode="mm/dd/yyyy"/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65" formatCode="&quot;₹&quot;#,##0.00"/>
      <fill>
        <patternFill patternType="solid">
          <fgColor indexed="64"/>
          <bgColor rgb="FFFFFFFF"/>
        </patternFill>
      </fill>
    </dxf>
    <dxf>
      <numFmt numFmtId="165" formatCode="&quot;₹&quot;#,##0.00"/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📅 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Summary!$B$17:$B$28</c:f>
              <c:strCache>
                <c:ptCount val="12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  <c:pt idx="8">
                  <c:v>—</c:v>
                </c:pt>
                <c:pt idx="9">
                  <c:v>—</c:v>
                </c:pt>
                <c:pt idx="10">
                  <c:v>—</c:v>
                </c:pt>
                <c:pt idx="11">
                  <c:v>—</c:v>
                </c:pt>
              </c:strCache>
            </c:strRef>
          </c:cat>
          <c:val>
            <c:numRef>
              <c:f>Summary!$C$17:$C$28</c:f>
              <c:numCache>
                <c:formatCode>"₹"#,##0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8-4A03-BA50-384C8F10F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665360"/>
        <c:axId val="1771659120"/>
      </c:lineChart>
      <c:catAx>
        <c:axId val="177166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59120"/>
        <c:crosses val="autoZero"/>
        <c:auto val="1"/>
        <c:lblAlgn val="ctr"/>
        <c:lblOffset val="100"/>
        <c:noMultiLvlLbl val="0"/>
      </c:catAx>
      <c:valAx>
        <c:axId val="17716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6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🏆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Summary!$J$10:$J$15</c:f>
              <c:strCache>
                <c:ptCount val="6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Summary!$K$10:$K$15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E-4A67-B040-8F9D25283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679280"/>
        <c:axId val="1771662960"/>
      </c:barChart>
      <c:catAx>
        <c:axId val="17716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62960"/>
        <c:crosses val="autoZero"/>
        <c:auto val="1"/>
        <c:lblAlgn val="ctr"/>
        <c:lblOffset val="100"/>
        <c:noMultiLvlLbl val="0"/>
      </c:catAx>
      <c:valAx>
        <c:axId val="17716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7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Monthly Revenue Trend">
          <a:extLst>
            <a:ext uri="{FF2B5EF4-FFF2-40B4-BE49-F238E27FC236}">
              <a16:creationId xmlns:a16="http://schemas.microsoft.com/office/drawing/2014/main" id="{ADC19EE7-981A-8145-8993-236EE2470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3" name="Category Revenue">
          <a:extLst>
            <a:ext uri="{FF2B5EF4-FFF2-40B4-BE49-F238E27FC236}">
              <a16:creationId xmlns:a16="http://schemas.microsoft.com/office/drawing/2014/main" id="{8B2BA64F-4DF7-BC2C-2486-2E8238B8F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4AAF9-1BB3-4ED0-8A08-DF545873941A}" name="RawDataTable" displayName="RawDataTable" ref="A1:H61" totalsRowShown="0" headerRowDxfId="1" dataDxfId="2">
  <autoFilter ref="A1:H61" xr:uid="{6544AAF9-1BB3-4ED0-8A08-DF545873941A}"/>
  <tableColumns count="8">
    <tableColumn id="1" xr3:uid="{FE890A5A-5A0A-45CB-AB35-C1B768D0F313}" name="Date" dataDxfId="0"/>
    <tableColumn id="2" xr3:uid="{87728B79-602B-4B42-95D4-8BCA965C4AFC}" name="Product" dataDxfId="9"/>
    <tableColumn id="3" xr3:uid="{E73DA256-8B5F-4077-A4E0-6A8644DD3AF3}" name="Category" dataDxfId="8"/>
    <tableColumn id="4" xr3:uid="{07ACA55C-7A46-4E3B-9A5C-FE19AE76ACF9}" name="Region" dataDxfId="7"/>
    <tableColumn id="5" xr3:uid="{CE4CCF41-4023-4FC8-BB3E-E0E0C6BFEDFA}" name="Units_Sold" dataDxfId="6"/>
    <tableColumn id="6" xr3:uid="{F3A316E7-4B39-4094-B664-90CD0EFB5A4E}" name="Revenue" dataDxfId="5"/>
    <tableColumn id="7" xr3:uid="{0A376527-7769-4641-AF0A-BD4BC87C9F43}" name="Cost" dataDxfId="4"/>
    <tableColumn id="8" xr3:uid="{B66D7691-D0C5-4BCB-8414-B7EB619E3489}" name="Customer_Segment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E7E5F-C495-40FD-BCED-0986205CB1CD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859-6F4C-40A6-9E68-5B9C2DAABBF7}">
  <sheetPr>
    <tabColor rgb="FFC55A11"/>
  </sheetPr>
  <dimension ref="B2:F32"/>
  <sheetViews>
    <sheetView showGridLines="0" topLeftCell="A15" workbookViewId="0">
      <selection activeCell="B29" sqref="B29"/>
    </sheetView>
  </sheetViews>
  <sheetFormatPr defaultRowHeight="14.4" x14ac:dyDescent="0.3"/>
  <cols>
    <col min="1" max="1" width="3.6640625" customWidth="1"/>
    <col min="2" max="2" width="107.44140625" customWidth="1"/>
    <col min="4" max="4" width="3.6640625" customWidth="1"/>
    <col min="5" max="5" width="37" customWidth="1"/>
    <col min="6" max="6" width="27.77734375" customWidth="1"/>
  </cols>
  <sheetData>
    <row r="2" spans="2:6" ht="46.05" customHeight="1" x14ac:dyDescent="0.5">
      <c r="B2" s="23" t="s">
        <v>72</v>
      </c>
    </row>
    <row r="3" spans="2:6" ht="22.05" customHeight="1" x14ac:dyDescent="0.3">
      <c r="B3" s="24" t="s">
        <v>73</v>
      </c>
    </row>
    <row r="5" spans="2:6" ht="28.05" customHeight="1" x14ac:dyDescent="0.35">
      <c r="B5" s="25" t="s">
        <v>74</v>
      </c>
      <c r="C5" s="26"/>
      <c r="E5" s="21" t="s">
        <v>101</v>
      </c>
      <c r="F5" s="26"/>
    </row>
    <row r="6" spans="2:6" ht="25.95" customHeight="1" x14ac:dyDescent="0.3">
      <c r="B6" s="27" t="s">
        <v>75</v>
      </c>
      <c r="C6" s="28" t="s">
        <v>76</v>
      </c>
      <c r="E6" s="22" t="s">
        <v>102</v>
      </c>
      <c r="F6" s="43">
        <f>COUNTA(Raw_Data!A:A)-1</f>
        <v>60</v>
      </c>
    </row>
    <row r="7" spans="2:6" ht="25.95" customHeight="1" x14ac:dyDescent="0.3">
      <c r="B7" s="27" t="s">
        <v>77</v>
      </c>
      <c r="C7" s="28" t="s">
        <v>78</v>
      </c>
      <c r="E7" s="17" t="s">
        <v>103</v>
      </c>
      <c r="F7" s="43">
        <f>COUNTA(Raw_Data!1:1)</f>
        <v>8</v>
      </c>
    </row>
    <row r="8" spans="2:6" ht="25.95" customHeight="1" x14ac:dyDescent="0.3">
      <c r="B8" s="27" t="s">
        <v>79</v>
      </c>
      <c r="C8" s="28" t="s">
        <v>80</v>
      </c>
      <c r="E8" s="22" t="s">
        <v>104</v>
      </c>
      <c r="F8" s="43">
        <f>COUNTIF(Mapping_Config!F5:F12,"✅ Mapped")</f>
        <v>8</v>
      </c>
    </row>
    <row r="9" spans="2:6" ht="25.95" customHeight="1" x14ac:dyDescent="0.3">
      <c r="B9" s="27" t="s">
        <v>81</v>
      </c>
      <c r="C9" s="28" t="s">
        <v>82</v>
      </c>
      <c r="E9" s="17" t="s">
        <v>105</v>
      </c>
      <c r="F9" s="43">
        <f>COUNTIFS(Mapping_Config!F5:F8,"⚠️ Not Set")</f>
        <v>0</v>
      </c>
    </row>
    <row r="10" spans="2:6" ht="25.95" customHeight="1" x14ac:dyDescent="0.3">
      <c r="B10" s="27" t="s">
        <v>83</v>
      </c>
      <c r="C10" s="28" t="s">
        <v>84</v>
      </c>
      <c r="E10" s="22" t="s">
        <v>106</v>
      </c>
      <c r="F10" s="43" t="b">
        <f>Mapping_Config!B19</f>
        <v>0</v>
      </c>
    </row>
    <row r="11" spans="2:6" x14ac:dyDescent="0.3">
      <c r="E11" s="17" t="s">
        <v>107</v>
      </c>
      <c r="F11" s="43" t="b">
        <f>Mapping_Config!B22</f>
        <v>0</v>
      </c>
    </row>
    <row r="12" spans="2:6" ht="10.050000000000001" customHeight="1" x14ac:dyDescent="0.3">
      <c r="E12" s="22" t="s">
        <v>108</v>
      </c>
      <c r="F12" s="43" t="s">
        <v>109</v>
      </c>
    </row>
    <row r="13" spans="2:6" ht="30" customHeight="1" x14ac:dyDescent="0.35">
      <c r="B13" s="30" t="s">
        <v>85</v>
      </c>
      <c r="C13" s="31"/>
      <c r="E13" s="17" t="s">
        <v>110</v>
      </c>
      <c r="F13" s="43" t="s">
        <v>111</v>
      </c>
    </row>
    <row r="15" spans="2:6" ht="37.950000000000003" customHeight="1" x14ac:dyDescent="0.35">
      <c r="B15" s="30" t="s">
        <v>86</v>
      </c>
      <c r="C15" s="32" t="s">
        <v>87</v>
      </c>
    </row>
    <row r="17" spans="2:3" ht="37.950000000000003" customHeight="1" x14ac:dyDescent="0.35">
      <c r="B17" s="33" t="s">
        <v>88</v>
      </c>
      <c r="C17" s="20" t="s">
        <v>89</v>
      </c>
    </row>
    <row r="19" spans="2:3" ht="37.950000000000003" customHeight="1" x14ac:dyDescent="0.35">
      <c r="B19" s="35" t="s">
        <v>90</v>
      </c>
      <c r="C19" s="36" t="s">
        <v>91</v>
      </c>
    </row>
    <row r="21" spans="2:3" ht="37.950000000000003" customHeight="1" x14ac:dyDescent="0.35">
      <c r="B21" s="38" t="s">
        <v>92</v>
      </c>
      <c r="C21" s="39" t="s">
        <v>93</v>
      </c>
    </row>
    <row r="23" spans="2:3" ht="28.05" customHeight="1" x14ac:dyDescent="0.3">
      <c r="B23" s="40" t="s">
        <v>94</v>
      </c>
    </row>
    <row r="24" spans="2:3" ht="18" customHeight="1" x14ac:dyDescent="0.3">
      <c r="B24" s="41" t="s">
        <v>95</v>
      </c>
    </row>
    <row r="25" spans="2:3" ht="18" customHeight="1" x14ac:dyDescent="0.3">
      <c r="B25" s="41" t="s">
        <v>96</v>
      </c>
    </row>
    <row r="26" spans="2:3" ht="18" customHeight="1" x14ac:dyDescent="0.3">
      <c r="B26" s="41" t="s">
        <v>97</v>
      </c>
    </row>
    <row r="27" spans="2:3" ht="18" customHeight="1" x14ac:dyDescent="0.3">
      <c r="B27" s="41"/>
    </row>
    <row r="28" spans="2:3" ht="18" customHeight="1" x14ac:dyDescent="0.3">
      <c r="B28" s="41" t="s">
        <v>98</v>
      </c>
    </row>
    <row r="29" spans="2:3" ht="18" customHeight="1" x14ac:dyDescent="0.3">
      <c r="B29" s="41" t="s">
        <v>99</v>
      </c>
    </row>
    <row r="30" spans="2:3" ht="18" customHeight="1" x14ac:dyDescent="0.3">
      <c r="B30" s="41" t="s">
        <v>97</v>
      </c>
    </row>
    <row r="31" spans="2:3" ht="18" customHeight="1" x14ac:dyDescent="0.3">
      <c r="B31" s="41"/>
    </row>
    <row r="32" spans="2:3" ht="18" customHeight="1" x14ac:dyDescent="0.3">
      <c r="B32" s="4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66EB-2EC6-40A9-9E6C-4E582C36732E}">
  <sheetPr>
    <tabColor rgb="FF1F4E79"/>
  </sheetPr>
  <dimension ref="A1:H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21875" customWidth="1"/>
    <col min="2" max="2" width="25.88671875" customWidth="1"/>
    <col min="3" max="3" width="27.77734375" customWidth="1"/>
    <col min="4" max="5" width="16.6640625" customWidth="1"/>
    <col min="6" max="7" width="20.33203125" customWidth="1"/>
    <col min="8" max="8" width="24.109375" customWidth="1"/>
  </cols>
  <sheetData>
    <row r="1" spans="1:8" ht="28.05" customHeight="1" x14ac:dyDescent="0.3">
      <c r="A1" s="7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71">
        <v>45292</v>
      </c>
      <c r="B2" s="2" t="s">
        <v>8</v>
      </c>
      <c r="C2" s="2" t="s">
        <v>9</v>
      </c>
      <c r="D2" s="2" t="s">
        <v>10</v>
      </c>
      <c r="E2" s="2">
        <v>10</v>
      </c>
      <c r="F2" s="4">
        <v>200</v>
      </c>
      <c r="G2" s="4">
        <v>90</v>
      </c>
      <c r="H2" s="2" t="s">
        <v>11</v>
      </c>
    </row>
    <row r="3" spans="1:8" x14ac:dyDescent="0.3">
      <c r="A3" s="72">
        <v>45293</v>
      </c>
      <c r="B3" s="3" t="s">
        <v>12</v>
      </c>
      <c r="C3" s="3" t="s">
        <v>13</v>
      </c>
      <c r="D3" s="3" t="s">
        <v>14</v>
      </c>
      <c r="E3" s="3">
        <v>17</v>
      </c>
      <c r="F3" s="5">
        <v>561</v>
      </c>
      <c r="G3" s="5">
        <v>258.06</v>
      </c>
      <c r="H3" s="3" t="s">
        <v>15</v>
      </c>
    </row>
    <row r="4" spans="1:8" x14ac:dyDescent="0.3">
      <c r="A4" s="71">
        <v>45294</v>
      </c>
      <c r="B4" s="2" t="s">
        <v>16</v>
      </c>
      <c r="C4" s="2" t="s">
        <v>17</v>
      </c>
      <c r="D4" s="2" t="s">
        <v>18</v>
      </c>
      <c r="E4" s="2">
        <v>24</v>
      </c>
      <c r="F4" s="4">
        <v>1104</v>
      </c>
      <c r="G4" s="4">
        <v>518.88</v>
      </c>
      <c r="H4" s="2" t="s">
        <v>19</v>
      </c>
    </row>
    <row r="5" spans="1:8" x14ac:dyDescent="0.3">
      <c r="A5" s="72">
        <v>45295</v>
      </c>
      <c r="B5" s="3" t="s">
        <v>20</v>
      </c>
      <c r="C5" s="3" t="s">
        <v>21</v>
      </c>
      <c r="D5" s="3" t="s">
        <v>22</v>
      </c>
      <c r="E5" s="3">
        <v>31</v>
      </c>
      <c r="F5" s="5">
        <v>1829</v>
      </c>
      <c r="G5" s="5">
        <v>877.92</v>
      </c>
      <c r="H5" s="3" t="s">
        <v>11</v>
      </c>
    </row>
    <row r="6" spans="1:8" x14ac:dyDescent="0.3">
      <c r="A6" s="71">
        <v>45296</v>
      </c>
      <c r="B6" s="2" t="s">
        <v>8</v>
      </c>
      <c r="C6" s="2" t="s">
        <v>9</v>
      </c>
      <c r="D6" s="2" t="s">
        <v>10</v>
      </c>
      <c r="E6" s="2">
        <v>38</v>
      </c>
      <c r="F6" s="4">
        <v>2736</v>
      </c>
      <c r="G6" s="4">
        <v>1340.64</v>
      </c>
      <c r="H6" s="2" t="s">
        <v>15</v>
      </c>
    </row>
    <row r="7" spans="1:8" x14ac:dyDescent="0.3">
      <c r="A7" s="72">
        <v>45328</v>
      </c>
      <c r="B7" s="3" t="s">
        <v>12</v>
      </c>
      <c r="C7" s="3" t="s">
        <v>13</v>
      </c>
      <c r="D7" s="3" t="s">
        <v>14</v>
      </c>
      <c r="E7" s="3">
        <v>45</v>
      </c>
      <c r="F7" s="5">
        <v>3825</v>
      </c>
      <c r="G7" s="5">
        <v>1912.5</v>
      </c>
      <c r="H7" s="3" t="s">
        <v>19</v>
      </c>
    </row>
    <row r="8" spans="1:8" x14ac:dyDescent="0.3">
      <c r="A8" s="71">
        <v>45329</v>
      </c>
      <c r="B8" s="2" t="s">
        <v>16</v>
      </c>
      <c r="C8" s="2" t="s">
        <v>17</v>
      </c>
      <c r="D8" s="2" t="s">
        <v>18</v>
      </c>
      <c r="E8" s="2">
        <v>52</v>
      </c>
      <c r="F8" s="4">
        <v>5096</v>
      </c>
      <c r="G8" s="4">
        <v>2598.96</v>
      </c>
      <c r="H8" s="2" t="s">
        <v>11</v>
      </c>
    </row>
    <row r="9" spans="1:8" x14ac:dyDescent="0.3">
      <c r="A9" s="72">
        <v>45330</v>
      </c>
      <c r="B9" s="3" t="s">
        <v>20</v>
      </c>
      <c r="C9" s="3" t="s">
        <v>21</v>
      </c>
      <c r="D9" s="3" t="s">
        <v>22</v>
      </c>
      <c r="E9" s="3">
        <v>59</v>
      </c>
      <c r="F9" s="5">
        <v>6549</v>
      </c>
      <c r="G9" s="5">
        <v>3405.48</v>
      </c>
      <c r="H9" s="3" t="s">
        <v>15</v>
      </c>
    </row>
    <row r="10" spans="1:8" x14ac:dyDescent="0.3">
      <c r="A10" s="71">
        <v>45331</v>
      </c>
      <c r="B10" s="2" t="s">
        <v>8</v>
      </c>
      <c r="C10" s="2" t="s">
        <v>9</v>
      </c>
      <c r="D10" s="2" t="s">
        <v>10</v>
      </c>
      <c r="E10" s="2">
        <v>66</v>
      </c>
      <c r="F10" s="4">
        <v>8184</v>
      </c>
      <c r="G10" s="4">
        <v>4337.5200000000004</v>
      </c>
      <c r="H10" s="2" t="s">
        <v>19</v>
      </c>
    </row>
    <row r="11" spans="1:8" x14ac:dyDescent="0.3">
      <c r="A11" s="72">
        <v>45332</v>
      </c>
      <c r="B11" s="3" t="s">
        <v>12</v>
      </c>
      <c r="C11" s="3" t="s">
        <v>13</v>
      </c>
      <c r="D11" s="3" t="s">
        <v>14</v>
      </c>
      <c r="E11" s="3">
        <v>73</v>
      </c>
      <c r="F11" s="5">
        <v>10001</v>
      </c>
      <c r="G11" s="5">
        <v>5400.54</v>
      </c>
      <c r="H11" s="3" t="s">
        <v>11</v>
      </c>
    </row>
    <row r="12" spans="1:8" x14ac:dyDescent="0.3">
      <c r="A12" s="71">
        <v>45362</v>
      </c>
      <c r="B12" s="2" t="s">
        <v>16</v>
      </c>
      <c r="C12" s="2" t="s">
        <v>17</v>
      </c>
      <c r="D12" s="2" t="s">
        <v>18</v>
      </c>
      <c r="E12" s="2">
        <v>80</v>
      </c>
      <c r="F12" s="4">
        <v>15600</v>
      </c>
      <c r="G12" s="4">
        <v>8580</v>
      </c>
      <c r="H12" s="2" t="s">
        <v>15</v>
      </c>
    </row>
    <row r="13" spans="1:8" x14ac:dyDescent="0.3">
      <c r="A13" s="72">
        <v>45363</v>
      </c>
      <c r="B13" s="3" t="s">
        <v>20</v>
      </c>
      <c r="C13" s="3" t="s">
        <v>21</v>
      </c>
      <c r="D13" s="3" t="s">
        <v>22</v>
      </c>
      <c r="E13" s="3">
        <v>87</v>
      </c>
      <c r="F13" s="5">
        <v>18435.3</v>
      </c>
      <c r="G13" s="5">
        <v>10323.77</v>
      </c>
      <c r="H13" s="3" t="s">
        <v>19</v>
      </c>
    </row>
    <row r="14" spans="1:8" x14ac:dyDescent="0.3">
      <c r="A14" s="71">
        <v>45364</v>
      </c>
      <c r="B14" s="2" t="s">
        <v>8</v>
      </c>
      <c r="C14" s="2" t="s">
        <v>9</v>
      </c>
      <c r="D14" s="2" t="s">
        <v>10</v>
      </c>
      <c r="E14" s="2">
        <v>94</v>
      </c>
      <c r="F14" s="4">
        <v>21507.200000000001</v>
      </c>
      <c r="G14" s="4">
        <v>12259.1</v>
      </c>
      <c r="H14" s="2" t="s">
        <v>11</v>
      </c>
    </row>
    <row r="15" spans="1:8" x14ac:dyDescent="0.3">
      <c r="A15" s="72">
        <v>45365</v>
      </c>
      <c r="B15" s="3" t="s">
        <v>12</v>
      </c>
      <c r="C15" s="3" t="s">
        <v>13</v>
      </c>
      <c r="D15" s="3" t="s">
        <v>14</v>
      </c>
      <c r="E15" s="3">
        <v>11</v>
      </c>
      <c r="F15" s="5">
        <v>2702.7</v>
      </c>
      <c r="G15" s="5">
        <v>1567.57</v>
      </c>
      <c r="H15" s="3" t="s">
        <v>15</v>
      </c>
    </row>
    <row r="16" spans="1:8" x14ac:dyDescent="0.3">
      <c r="A16" s="71">
        <v>45366</v>
      </c>
      <c r="B16" s="2" t="s">
        <v>16</v>
      </c>
      <c r="C16" s="2" t="s">
        <v>17</v>
      </c>
      <c r="D16" s="2" t="s">
        <v>18</v>
      </c>
      <c r="E16" s="2">
        <v>18</v>
      </c>
      <c r="F16" s="4">
        <v>4726.8</v>
      </c>
      <c r="G16" s="4">
        <v>2788.81</v>
      </c>
      <c r="H16" s="2" t="s">
        <v>19</v>
      </c>
    </row>
    <row r="17" spans="1:8" x14ac:dyDescent="0.3">
      <c r="A17" s="72">
        <v>45398</v>
      </c>
      <c r="B17" s="3" t="s">
        <v>20</v>
      </c>
      <c r="C17" s="3" t="s">
        <v>21</v>
      </c>
      <c r="D17" s="3" t="s">
        <v>22</v>
      </c>
      <c r="E17" s="3">
        <v>25</v>
      </c>
      <c r="F17" s="5">
        <v>5375</v>
      </c>
      <c r="G17" s="5">
        <v>3225</v>
      </c>
      <c r="H17" s="3" t="s">
        <v>11</v>
      </c>
    </row>
    <row r="18" spans="1:8" x14ac:dyDescent="0.3">
      <c r="A18" s="71">
        <v>45399</v>
      </c>
      <c r="B18" s="2" t="s">
        <v>8</v>
      </c>
      <c r="C18" s="2" t="s">
        <v>9</v>
      </c>
      <c r="D18" s="2" t="s">
        <v>10</v>
      </c>
      <c r="E18" s="2">
        <v>32</v>
      </c>
      <c r="F18" s="4">
        <v>896</v>
      </c>
      <c r="G18" s="4">
        <v>546.55999999999995</v>
      </c>
      <c r="H18" s="2" t="s">
        <v>15</v>
      </c>
    </row>
    <row r="19" spans="1:8" x14ac:dyDescent="0.3">
      <c r="A19" s="72">
        <v>45400</v>
      </c>
      <c r="B19" s="3" t="s">
        <v>12</v>
      </c>
      <c r="C19" s="3" t="s">
        <v>13</v>
      </c>
      <c r="D19" s="3" t="s">
        <v>14</v>
      </c>
      <c r="E19" s="3">
        <v>39</v>
      </c>
      <c r="F19" s="5">
        <v>1599</v>
      </c>
      <c r="G19" s="5">
        <v>991.38</v>
      </c>
      <c r="H19" s="3" t="s">
        <v>19</v>
      </c>
    </row>
    <row r="20" spans="1:8" x14ac:dyDescent="0.3">
      <c r="A20" s="71">
        <v>45401</v>
      </c>
      <c r="B20" s="2" t="s">
        <v>16</v>
      </c>
      <c r="C20" s="2" t="s">
        <v>17</v>
      </c>
      <c r="D20" s="2" t="s">
        <v>18</v>
      </c>
      <c r="E20" s="2">
        <v>46</v>
      </c>
      <c r="F20" s="4">
        <v>2484</v>
      </c>
      <c r="G20" s="4">
        <v>1564.92</v>
      </c>
      <c r="H20" s="2" t="s">
        <v>11</v>
      </c>
    </row>
    <row r="21" spans="1:8" x14ac:dyDescent="0.3">
      <c r="A21" s="72">
        <v>45402</v>
      </c>
      <c r="B21" s="3" t="s">
        <v>20</v>
      </c>
      <c r="C21" s="3" t="s">
        <v>21</v>
      </c>
      <c r="D21" s="3" t="s">
        <v>22</v>
      </c>
      <c r="E21" s="3">
        <v>53</v>
      </c>
      <c r="F21" s="5">
        <v>3551</v>
      </c>
      <c r="G21" s="5">
        <v>2272.64</v>
      </c>
      <c r="H21" s="3" t="s">
        <v>15</v>
      </c>
    </row>
    <row r="22" spans="1:8" x14ac:dyDescent="0.3">
      <c r="A22" s="71">
        <v>45433</v>
      </c>
      <c r="B22" s="2" t="s">
        <v>8</v>
      </c>
      <c r="C22" s="2" t="s">
        <v>9</v>
      </c>
      <c r="D22" s="2" t="s">
        <v>10</v>
      </c>
      <c r="E22" s="2">
        <v>60</v>
      </c>
      <c r="F22" s="4">
        <v>4800</v>
      </c>
      <c r="G22" s="4">
        <v>2160</v>
      </c>
      <c r="H22" s="2" t="s">
        <v>19</v>
      </c>
    </row>
    <row r="23" spans="1:8" x14ac:dyDescent="0.3">
      <c r="A23" s="72">
        <v>45434</v>
      </c>
      <c r="B23" s="3" t="s">
        <v>12</v>
      </c>
      <c r="C23" s="3" t="s">
        <v>13</v>
      </c>
      <c r="D23" s="3" t="s">
        <v>14</v>
      </c>
      <c r="E23" s="3">
        <v>67</v>
      </c>
      <c r="F23" s="5">
        <v>6231</v>
      </c>
      <c r="G23" s="5">
        <v>2866.26</v>
      </c>
      <c r="H23" s="3" t="s">
        <v>11</v>
      </c>
    </row>
    <row r="24" spans="1:8" x14ac:dyDescent="0.3">
      <c r="A24" s="71">
        <v>45435</v>
      </c>
      <c r="B24" s="2" t="s">
        <v>16</v>
      </c>
      <c r="C24" s="2" t="s">
        <v>17</v>
      </c>
      <c r="D24" s="2" t="s">
        <v>18</v>
      </c>
      <c r="E24" s="2">
        <v>74</v>
      </c>
      <c r="F24" s="4">
        <v>7844</v>
      </c>
      <c r="G24" s="4">
        <v>3686.68</v>
      </c>
      <c r="H24" s="2" t="s">
        <v>15</v>
      </c>
    </row>
    <row r="25" spans="1:8" x14ac:dyDescent="0.3">
      <c r="A25" s="72">
        <v>45436</v>
      </c>
      <c r="B25" s="3" t="s">
        <v>20</v>
      </c>
      <c r="C25" s="3" t="s">
        <v>21</v>
      </c>
      <c r="D25" s="3" t="s">
        <v>22</v>
      </c>
      <c r="E25" s="3">
        <v>81</v>
      </c>
      <c r="F25" s="5">
        <v>9639</v>
      </c>
      <c r="G25" s="5">
        <v>4626.72</v>
      </c>
      <c r="H25" s="3" t="s">
        <v>19</v>
      </c>
    </row>
    <row r="26" spans="1:8" x14ac:dyDescent="0.3">
      <c r="A26" s="71">
        <v>45437</v>
      </c>
      <c r="B26" s="2" t="s">
        <v>8</v>
      </c>
      <c r="C26" s="2" t="s">
        <v>9</v>
      </c>
      <c r="D26" s="2" t="s">
        <v>10</v>
      </c>
      <c r="E26" s="2">
        <v>88</v>
      </c>
      <c r="F26" s="4">
        <v>11616</v>
      </c>
      <c r="G26" s="4">
        <v>5691.84</v>
      </c>
      <c r="H26" s="2" t="s">
        <v>11</v>
      </c>
    </row>
    <row r="27" spans="1:8" x14ac:dyDescent="0.3">
      <c r="A27" s="72">
        <v>45469</v>
      </c>
      <c r="B27" s="3" t="s">
        <v>12</v>
      </c>
      <c r="C27" s="3" t="s">
        <v>13</v>
      </c>
      <c r="D27" s="3" t="s">
        <v>14</v>
      </c>
      <c r="E27" s="3">
        <v>95</v>
      </c>
      <c r="F27" s="5">
        <v>13775</v>
      </c>
      <c r="G27" s="5">
        <v>6887.5</v>
      </c>
      <c r="H27" s="3" t="s">
        <v>15</v>
      </c>
    </row>
    <row r="28" spans="1:8" x14ac:dyDescent="0.3">
      <c r="A28" s="71">
        <v>45470</v>
      </c>
      <c r="B28" s="2" t="s">
        <v>16</v>
      </c>
      <c r="C28" s="2" t="s">
        <v>17</v>
      </c>
      <c r="D28" s="2" t="s">
        <v>18</v>
      </c>
      <c r="E28" s="2">
        <v>12</v>
      </c>
      <c r="F28" s="4">
        <v>1896</v>
      </c>
      <c r="G28" s="4">
        <v>966.96</v>
      </c>
      <c r="H28" s="2" t="s">
        <v>19</v>
      </c>
    </row>
    <row r="29" spans="1:8" x14ac:dyDescent="0.3">
      <c r="A29" s="72">
        <v>45471</v>
      </c>
      <c r="B29" s="3" t="s">
        <v>20</v>
      </c>
      <c r="C29" s="3" t="s">
        <v>21</v>
      </c>
      <c r="D29" s="3" t="s">
        <v>22</v>
      </c>
      <c r="E29" s="3">
        <v>19</v>
      </c>
      <c r="F29" s="5">
        <v>3249</v>
      </c>
      <c r="G29" s="5">
        <v>1689.48</v>
      </c>
      <c r="H29" s="3" t="s">
        <v>11</v>
      </c>
    </row>
    <row r="30" spans="1:8" x14ac:dyDescent="0.3">
      <c r="A30" s="71">
        <v>45444</v>
      </c>
      <c r="B30" s="2" t="s">
        <v>8</v>
      </c>
      <c r="C30" s="2" t="s">
        <v>9</v>
      </c>
      <c r="D30" s="2" t="s">
        <v>10</v>
      </c>
      <c r="E30" s="2">
        <v>26</v>
      </c>
      <c r="F30" s="4">
        <v>4784</v>
      </c>
      <c r="G30" s="4">
        <v>2535.52</v>
      </c>
      <c r="H30" s="2" t="s">
        <v>15</v>
      </c>
    </row>
    <row r="31" spans="1:8" x14ac:dyDescent="0.3">
      <c r="A31" s="72">
        <v>45445</v>
      </c>
      <c r="B31" s="3" t="s">
        <v>12</v>
      </c>
      <c r="C31" s="3" t="s">
        <v>13</v>
      </c>
      <c r="D31" s="3" t="s">
        <v>14</v>
      </c>
      <c r="E31" s="3">
        <v>33</v>
      </c>
      <c r="F31" s="5">
        <v>6501</v>
      </c>
      <c r="G31" s="5">
        <v>3510.54</v>
      </c>
      <c r="H31" s="3" t="s">
        <v>19</v>
      </c>
    </row>
    <row r="32" spans="1:8" x14ac:dyDescent="0.3">
      <c r="A32" s="71">
        <v>45476</v>
      </c>
      <c r="B32" s="2" t="s">
        <v>16</v>
      </c>
      <c r="C32" s="2" t="s">
        <v>17</v>
      </c>
      <c r="D32" s="2" t="s">
        <v>18</v>
      </c>
      <c r="E32" s="2">
        <v>40</v>
      </c>
      <c r="F32" s="4">
        <v>10920</v>
      </c>
      <c r="G32" s="4">
        <v>6006</v>
      </c>
      <c r="H32" s="2" t="s">
        <v>11</v>
      </c>
    </row>
    <row r="33" spans="1:8" x14ac:dyDescent="0.3">
      <c r="A33" s="72">
        <v>45477</v>
      </c>
      <c r="B33" s="3" t="s">
        <v>20</v>
      </c>
      <c r="C33" s="3" t="s">
        <v>21</v>
      </c>
      <c r="D33" s="3" t="s">
        <v>22</v>
      </c>
      <c r="E33" s="3">
        <v>47</v>
      </c>
      <c r="F33" s="5">
        <v>1405.3</v>
      </c>
      <c r="G33" s="5">
        <v>786.97</v>
      </c>
      <c r="H33" s="3" t="s">
        <v>15</v>
      </c>
    </row>
    <row r="34" spans="1:8" x14ac:dyDescent="0.3">
      <c r="A34" s="71">
        <v>45478</v>
      </c>
      <c r="B34" s="2" t="s">
        <v>8</v>
      </c>
      <c r="C34" s="2" t="s">
        <v>9</v>
      </c>
      <c r="D34" s="2" t="s">
        <v>10</v>
      </c>
      <c r="E34" s="2">
        <v>54</v>
      </c>
      <c r="F34" s="4">
        <v>2527.1999999999998</v>
      </c>
      <c r="G34" s="4">
        <v>1440.5</v>
      </c>
      <c r="H34" s="2" t="s">
        <v>19</v>
      </c>
    </row>
    <row r="35" spans="1:8" x14ac:dyDescent="0.3">
      <c r="A35" s="72">
        <v>45479</v>
      </c>
      <c r="B35" s="3" t="s">
        <v>12</v>
      </c>
      <c r="C35" s="3" t="s">
        <v>13</v>
      </c>
      <c r="D35" s="3" t="s">
        <v>14</v>
      </c>
      <c r="E35" s="3">
        <v>61</v>
      </c>
      <c r="F35" s="5">
        <v>3885.7</v>
      </c>
      <c r="G35" s="5">
        <v>2253.71</v>
      </c>
      <c r="H35" s="3" t="s">
        <v>11</v>
      </c>
    </row>
    <row r="36" spans="1:8" x14ac:dyDescent="0.3">
      <c r="A36" s="71">
        <v>45480</v>
      </c>
      <c r="B36" s="2" t="s">
        <v>16</v>
      </c>
      <c r="C36" s="2" t="s">
        <v>17</v>
      </c>
      <c r="D36" s="2" t="s">
        <v>18</v>
      </c>
      <c r="E36" s="2">
        <v>68</v>
      </c>
      <c r="F36" s="4">
        <v>5480.8</v>
      </c>
      <c r="G36" s="4">
        <v>3233.67</v>
      </c>
      <c r="H36" s="2" t="s">
        <v>15</v>
      </c>
    </row>
    <row r="37" spans="1:8" x14ac:dyDescent="0.3">
      <c r="A37" s="72">
        <v>45512</v>
      </c>
      <c r="B37" s="3" t="s">
        <v>20</v>
      </c>
      <c r="C37" s="3" t="s">
        <v>21</v>
      </c>
      <c r="D37" s="3" t="s">
        <v>22</v>
      </c>
      <c r="E37" s="3">
        <v>75</v>
      </c>
      <c r="F37" s="5">
        <v>5625</v>
      </c>
      <c r="G37" s="5">
        <v>3375</v>
      </c>
      <c r="H37" s="3" t="s">
        <v>19</v>
      </c>
    </row>
    <row r="38" spans="1:8" x14ac:dyDescent="0.3">
      <c r="A38" s="71">
        <v>45513</v>
      </c>
      <c r="B38" s="2" t="s">
        <v>8</v>
      </c>
      <c r="C38" s="2" t="s">
        <v>9</v>
      </c>
      <c r="D38" s="2" t="s">
        <v>10</v>
      </c>
      <c r="E38" s="2">
        <v>82</v>
      </c>
      <c r="F38" s="4">
        <v>7216</v>
      </c>
      <c r="G38" s="4">
        <v>4401.76</v>
      </c>
      <c r="H38" s="2" t="s">
        <v>11</v>
      </c>
    </row>
    <row r="39" spans="1:8" x14ac:dyDescent="0.3">
      <c r="A39" s="72">
        <v>45514</v>
      </c>
      <c r="B39" s="3" t="s">
        <v>12</v>
      </c>
      <c r="C39" s="3" t="s">
        <v>13</v>
      </c>
      <c r="D39" s="3" t="s">
        <v>14</v>
      </c>
      <c r="E39" s="3">
        <v>89</v>
      </c>
      <c r="F39" s="5">
        <v>8989</v>
      </c>
      <c r="G39" s="5">
        <v>5573.18</v>
      </c>
      <c r="H39" s="3" t="s">
        <v>15</v>
      </c>
    </row>
    <row r="40" spans="1:8" x14ac:dyDescent="0.3">
      <c r="A40" s="71">
        <v>45515</v>
      </c>
      <c r="B40" s="2" t="s">
        <v>16</v>
      </c>
      <c r="C40" s="2" t="s">
        <v>17</v>
      </c>
      <c r="D40" s="2" t="s">
        <v>18</v>
      </c>
      <c r="E40" s="2">
        <v>96</v>
      </c>
      <c r="F40" s="4">
        <v>10944</v>
      </c>
      <c r="G40" s="4">
        <v>6894.72</v>
      </c>
      <c r="H40" s="2" t="s">
        <v>19</v>
      </c>
    </row>
    <row r="41" spans="1:8" x14ac:dyDescent="0.3">
      <c r="A41" s="72">
        <v>45516</v>
      </c>
      <c r="B41" s="3" t="s">
        <v>20</v>
      </c>
      <c r="C41" s="3" t="s">
        <v>21</v>
      </c>
      <c r="D41" s="3" t="s">
        <v>22</v>
      </c>
      <c r="E41" s="3">
        <v>13</v>
      </c>
      <c r="F41" s="5">
        <v>1651</v>
      </c>
      <c r="G41" s="5">
        <v>1056.6400000000001</v>
      </c>
      <c r="H41" s="3" t="s">
        <v>11</v>
      </c>
    </row>
    <row r="42" spans="1:8" x14ac:dyDescent="0.3">
      <c r="A42" s="71">
        <v>45548</v>
      </c>
      <c r="B42" s="2" t="s">
        <v>8</v>
      </c>
      <c r="C42" s="2" t="s">
        <v>9</v>
      </c>
      <c r="D42" s="2" t="s">
        <v>10</v>
      </c>
      <c r="E42" s="2">
        <v>20</v>
      </c>
      <c r="F42" s="4">
        <v>2800</v>
      </c>
      <c r="G42" s="4">
        <v>1260</v>
      </c>
      <c r="H42" s="2" t="s">
        <v>15</v>
      </c>
    </row>
    <row r="43" spans="1:8" x14ac:dyDescent="0.3">
      <c r="A43" s="72">
        <v>45549</v>
      </c>
      <c r="B43" s="3" t="s">
        <v>12</v>
      </c>
      <c r="C43" s="3" t="s">
        <v>13</v>
      </c>
      <c r="D43" s="3" t="s">
        <v>14</v>
      </c>
      <c r="E43" s="3">
        <v>27</v>
      </c>
      <c r="F43" s="5">
        <v>4131</v>
      </c>
      <c r="G43" s="5">
        <v>1900.26</v>
      </c>
      <c r="H43" s="3" t="s">
        <v>19</v>
      </c>
    </row>
    <row r="44" spans="1:8" x14ac:dyDescent="0.3">
      <c r="A44" s="71">
        <v>45550</v>
      </c>
      <c r="B44" s="2" t="s">
        <v>16</v>
      </c>
      <c r="C44" s="2" t="s">
        <v>17</v>
      </c>
      <c r="D44" s="2" t="s">
        <v>18</v>
      </c>
      <c r="E44" s="2">
        <v>34</v>
      </c>
      <c r="F44" s="4">
        <v>5644</v>
      </c>
      <c r="G44" s="4">
        <v>2652.68</v>
      </c>
      <c r="H44" s="2" t="s">
        <v>11</v>
      </c>
    </row>
    <row r="45" spans="1:8" x14ac:dyDescent="0.3">
      <c r="A45" s="72">
        <v>45551</v>
      </c>
      <c r="B45" s="3" t="s">
        <v>20</v>
      </c>
      <c r="C45" s="3" t="s">
        <v>21</v>
      </c>
      <c r="D45" s="3" t="s">
        <v>22</v>
      </c>
      <c r="E45" s="3">
        <v>41</v>
      </c>
      <c r="F45" s="5">
        <v>7339</v>
      </c>
      <c r="G45" s="5">
        <v>3522.72</v>
      </c>
      <c r="H45" s="3" t="s">
        <v>15</v>
      </c>
    </row>
    <row r="46" spans="1:8" x14ac:dyDescent="0.3">
      <c r="A46" s="71">
        <v>45552</v>
      </c>
      <c r="B46" s="2" t="s">
        <v>8</v>
      </c>
      <c r="C46" s="2" t="s">
        <v>9</v>
      </c>
      <c r="D46" s="2" t="s">
        <v>10</v>
      </c>
      <c r="E46" s="2">
        <v>48</v>
      </c>
      <c r="F46" s="4">
        <v>9216</v>
      </c>
      <c r="G46" s="4">
        <v>4515.84</v>
      </c>
      <c r="H46" s="2" t="s">
        <v>19</v>
      </c>
    </row>
    <row r="47" spans="1:8" x14ac:dyDescent="0.3">
      <c r="A47" s="72">
        <v>45583</v>
      </c>
      <c r="B47" s="3" t="s">
        <v>12</v>
      </c>
      <c r="C47" s="3" t="s">
        <v>13</v>
      </c>
      <c r="D47" s="3" t="s">
        <v>14</v>
      </c>
      <c r="E47" s="3">
        <v>55</v>
      </c>
      <c r="F47" s="5">
        <v>11275</v>
      </c>
      <c r="G47" s="5">
        <v>5637.5</v>
      </c>
      <c r="H47" s="3" t="s">
        <v>11</v>
      </c>
    </row>
    <row r="48" spans="1:8" x14ac:dyDescent="0.3">
      <c r="A48" s="71">
        <v>45584</v>
      </c>
      <c r="B48" s="2" t="s">
        <v>16</v>
      </c>
      <c r="C48" s="2" t="s">
        <v>17</v>
      </c>
      <c r="D48" s="2" t="s">
        <v>18</v>
      </c>
      <c r="E48" s="2">
        <v>62</v>
      </c>
      <c r="F48" s="4">
        <v>13516</v>
      </c>
      <c r="G48" s="4">
        <v>6893.16</v>
      </c>
      <c r="H48" s="2" t="s">
        <v>15</v>
      </c>
    </row>
    <row r="49" spans="1:8" x14ac:dyDescent="0.3">
      <c r="A49" s="72">
        <v>45585</v>
      </c>
      <c r="B49" s="3" t="s">
        <v>20</v>
      </c>
      <c r="C49" s="3" t="s">
        <v>21</v>
      </c>
      <c r="D49" s="3" t="s">
        <v>22</v>
      </c>
      <c r="E49" s="3">
        <v>69</v>
      </c>
      <c r="F49" s="5">
        <v>2139</v>
      </c>
      <c r="G49" s="5">
        <v>1112.28</v>
      </c>
      <c r="H49" s="3" t="s">
        <v>19</v>
      </c>
    </row>
    <row r="50" spans="1:8" x14ac:dyDescent="0.3">
      <c r="A50" s="71">
        <v>45586</v>
      </c>
      <c r="B50" s="2" t="s">
        <v>8</v>
      </c>
      <c r="C50" s="2" t="s">
        <v>9</v>
      </c>
      <c r="D50" s="2" t="s">
        <v>10</v>
      </c>
      <c r="E50" s="2">
        <v>76</v>
      </c>
      <c r="F50" s="4">
        <v>3344</v>
      </c>
      <c r="G50" s="4">
        <v>1772.32</v>
      </c>
      <c r="H50" s="2" t="s">
        <v>11</v>
      </c>
    </row>
    <row r="51" spans="1:8" x14ac:dyDescent="0.3">
      <c r="A51" s="72">
        <v>45587</v>
      </c>
      <c r="B51" s="3" t="s">
        <v>12</v>
      </c>
      <c r="C51" s="3" t="s">
        <v>13</v>
      </c>
      <c r="D51" s="3" t="s">
        <v>14</v>
      </c>
      <c r="E51" s="3">
        <v>83</v>
      </c>
      <c r="F51" s="5">
        <v>4731</v>
      </c>
      <c r="G51" s="5">
        <v>2554.7399999999998</v>
      </c>
      <c r="H51" s="3" t="s">
        <v>15</v>
      </c>
    </row>
    <row r="52" spans="1:8" x14ac:dyDescent="0.3">
      <c r="A52" s="71">
        <v>45619</v>
      </c>
      <c r="B52" s="2" t="s">
        <v>16</v>
      </c>
      <c r="C52" s="2" t="s">
        <v>17</v>
      </c>
      <c r="D52" s="2" t="s">
        <v>18</v>
      </c>
      <c r="E52" s="2">
        <v>90</v>
      </c>
      <c r="F52" s="4">
        <v>8190</v>
      </c>
      <c r="G52" s="4">
        <v>4504.5</v>
      </c>
      <c r="H52" s="2" t="s">
        <v>19</v>
      </c>
    </row>
    <row r="53" spans="1:8" x14ac:dyDescent="0.3">
      <c r="A53" s="72">
        <v>45620</v>
      </c>
      <c r="B53" s="3" t="s">
        <v>20</v>
      </c>
      <c r="C53" s="3" t="s">
        <v>21</v>
      </c>
      <c r="D53" s="3" t="s">
        <v>22</v>
      </c>
      <c r="E53" s="3">
        <v>97</v>
      </c>
      <c r="F53" s="5">
        <v>10466.299999999999</v>
      </c>
      <c r="G53" s="5">
        <v>5861.13</v>
      </c>
      <c r="H53" s="3" t="s">
        <v>11</v>
      </c>
    </row>
    <row r="54" spans="1:8" x14ac:dyDescent="0.3">
      <c r="A54" s="71">
        <v>45621</v>
      </c>
      <c r="B54" s="2" t="s">
        <v>8</v>
      </c>
      <c r="C54" s="2" t="s">
        <v>9</v>
      </c>
      <c r="D54" s="2" t="s">
        <v>10</v>
      </c>
      <c r="E54" s="2">
        <v>14</v>
      </c>
      <c r="F54" s="4">
        <v>1747.2</v>
      </c>
      <c r="G54" s="4">
        <v>995.9</v>
      </c>
      <c r="H54" s="2" t="s">
        <v>15</v>
      </c>
    </row>
    <row r="55" spans="1:8" x14ac:dyDescent="0.3">
      <c r="A55" s="72">
        <v>45622</v>
      </c>
      <c r="B55" s="3" t="s">
        <v>12</v>
      </c>
      <c r="C55" s="3" t="s">
        <v>13</v>
      </c>
      <c r="D55" s="3" t="s">
        <v>14</v>
      </c>
      <c r="E55" s="3">
        <v>21</v>
      </c>
      <c r="F55" s="5">
        <v>2975.7</v>
      </c>
      <c r="G55" s="5">
        <v>1725.91</v>
      </c>
      <c r="H55" s="3" t="s">
        <v>19</v>
      </c>
    </row>
    <row r="56" spans="1:8" x14ac:dyDescent="0.3">
      <c r="A56" s="71">
        <v>45623</v>
      </c>
      <c r="B56" s="2" t="s">
        <v>16</v>
      </c>
      <c r="C56" s="2" t="s">
        <v>17</v>
      </c>
      <c r="D56" s="2" t="s">
        <v>18</v>
      </c>
      <c r="E56" s="2">
        <v>28</v>
      </c>
      <c r="F56" s="4">
        <v>4440.8</v>
      </c>
      <c r="G56" s="4">
        <v>2620.0700000000002</v>
      </c>
      <c r="H56" s="2" t="s">
        <v>11</v>
      </c>
    </row>
    <row r="57" spans="1:8" x14ac:dyDescent="0.3">
      <c r="A57" s="72">
        <v>45654</v>
      </c>
      <c r="B57" s="3" t="s">
        <v>20</v>
      </c>
      <c r="C57" s="3" t="s">
        <v>21</v>
      </c>
      <c r="D57" s="3" t="s">
        <v>22</v>
      </c>
      <c r="E57" s="3">
        <v>35</v>
      </c>
      <c r="F57" s="5">
        <v>4725</v>
      </c>
      <c r="G57" s="5">
        <v>2835</v>
      </c>
      <c r="H57" s="3" t="s">
        <v>15</v>
      </c>
    </row>
    <row r="58" spans="1:8" x14ac:dyDescent="0.3">
      <c r="A58" s="71">
        <v>45627</v>
      </c>
      <c r="B58" s="2" t="s">
        <v>8</v>
      </c>
      <c r="C58" s="2" t="s">
        <v>9</v>
      </c>
      <c r="D58" s="2" t="s">
        <v>10</v>
      </c>
      <c r="E58" s="2">
        <v>42</v>
      </c>
      <c r="F58" s="4">
        <v>6216</v>
      </c>
      <c r="G58" s="4">
        <v>3791.76</v>
      </c>
      <c r="H58" s="2" t="s">
        <v>19</v>
      </c>
    </row>
    <row r="59" spans="1:8" x14ac:dyDescent="0.3">
      <c r="A59" s="72">
        <v>45628</v>
      </c>
      <c r="B59" s="3" t="s">
        <v>12</v>
      </c>
      <c r="C59" s="3" t="s">
        <v>13</v>
      </c>
      <c r="D59" s="3" t="s">
        <v>14</v>
      </c>
      <c r="E59" s="3">
        <v>49</v>
      </c>
      <c r="F59" s="5">
        <v>7889</v>
      </c>
      <c r="G59" s="5">
        <v>4891.18</v>
      </c>
      <c r="H59" s="3" t="s">
        <v>11</v>
      </c>
    </row>
    <row r="60" spans="1:8" x14ac:dyDescent="0.3">
      <c r="A60" s="71">
        <v>45629</v>
      </c>
      <c r="B60" s="2" t="s">
        <v>16</v>
      </c>
      <c r="C60" s="2" t="s">
        <v>17</v>
      </c>
      <c r="D60" s="2" t="s">
        <v>18</v>
      </c>
      <c r="E60" s="2">
        <v>56</v>
      </c>
      <c r="F60" s="4">
        <v>9744</v>
      </c>
      <c r="G60" s="4">
        <v>6138.72</v>
      </c>
      <c r="H60" s="2" t="s">
        <v>15</v>
      </c>
    </row>
    <row r="61" spans="1:8" x14ac:dyDescent="0.3">
      <c r="A61" s="72">
        <v>45630</v>
      </c>
      <c r="B61" s="3" t="s">
        <v>20</v>
      </c>
      <c r="C61" s="3" t="s">
        <v>21</v>
      </c>
      <c r="D61" s="3" t="s">
        <v>22</v>
      </c>
      <c r="E61" s="3">
        <v>63</v>
      </c>
      <c r="F61" s="5">
        <v>11781</v>
      </c>
      <c r="G61" s="5">
        <v>7539.84</v>
      </c>
      <c r="H61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A223-F600-41CD-9E22-266D79897024}">
  <sheetPr>
    <tabColor rgb="FF375623"/>
  </sheetPr>
  <dimension ref="A1:H23"/>
  <sheetViews>
    <sheetView workbookViewId="0">
      <selection sqref="A1:F1"/>
    </sheetView>
  </sheetViews>
  <sheetFormatPr defaultRowHeight="14.4" x14ac:dyDescent="0.3"/>
  <cols>
    <col min="1" max="1" width="42.5546875" customWidth="1"/>
    <col min="2" max="2" width="29.6640625" customWidth="1"/>
    <col min="3" max="4" width="51.88671875" customWidth="1"/>
    <col min="5" max="5" width="16.6640625" customWidth="1"/>
    <col min="6" max="6" width="18.5546875" customWidth="1"/>
    <col min="8" max="8" width="48.109375" customWidth="1"/>
  </cols>
  <sheetData>
    <row r="1" spans="1:8" ht="31.95" customHeight="1" x14ac:dyDescent="0.35">
      <c r="A1" s="7" t="s">
        <v>23</v>
      </c>
      <c r="B1" s="6"/>
      <c r="C1" s="6"/>
      <c r="D1" s="6"/>
      <c r="E1" s="6"/>
      <c r="F1" s="6"/>
    </row>
    <row r="2" spans="1:8" ht="22.05" customHeight="1" x14ac:dyDescent="0.3">
      <c r="A2" s="8" t="s">
        <v>24</v>
      </c>
    </row>
    <row r="4" spans="1:8" ht="24" customHeight="1" x14ac:dyDescent="0.3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H4" s="1" t="s">
        <v>51</v>
      </c>
    </row>
    <row r="5" spans="1:8" x14ac:dyDescent="0.3">
      <c r="A5" s="10" t="s">
        <v>31</v>
      </c>
      <c r="B5" s="14" t="s">
        <v>0</v>
      </c>
      <c r="C5" s="12" t="s">
        <v>32</v>
      </c>
      <c r="D5" s="10" t="s">
        <v>33</v>
      </c>
      <c r="E5" s="10" t="s">
        <v>0</v>
      </c>
      <c r="F5" s="11" t="str">
        <f>IF(B5&lt;&gt;"","✅ Mapped","⚠️ Not Set")</f>
        <v>✅ Mapped</v>
      </c>
      <c r="H5" s="20" t="s">
        <v>0</v>
      </c>
    </row>
    <row r="6" spans="1:8" x14ac:dyDescent="0.3">
      <c r="A6" s="3" t="s">
        <v>34</v>
      </c>
      <c r="B6" s="14" t="s">
        <v>5</v>
      </c>
      <c r="C6" s="16" t="s">
        <v>32</v>
      </c>
      <c r="D6" s="3" t="s">
        <v>35</v>
      </c>
      <c r="E6" s="3" t="s">
        <v>36</v>
      </c>
      <c r="F6" s="15" t="str">
        <f>IF(B6&lt;&gt;"","✅ Mapped","⚠️ Not Set")</f>
        <v>✅ Mapped</v>
      </c>
      <c r="H6" s="20" t="s">
        <v>1</v>
      </c>
    </row>
    <row r="7" spans="1:8" x14ac:dyDescent="0.3">
      <c r="A7" s="10" t="s">
        <v>37</v>
      </c>
      <c r="B7" s="14" t="s">
        <v>1</v>
      </c>
      <c r="C7" s="12" t="s">
        <v>32</v>
      </c>
      <c r="D7" s="10" t="s">
        <v>38</v>
      </c>
      <c r="E7" s="10" t="s">
        <v>39</v>
      </c>
      <c r="F7" s="11" t="str">
        <f>IF(B7&lt;&gt;"","✅ Mapped","⚠️ Not Set")</f>
        <v>✅ Mapped</v>
      </c>
      <c r="H7" s="20" t="s">
        <v>2</v>
      </c>
    </row>
    <row r="8" spans="1:8" x14ac:dyDescent="0.3">
      <c r="A8" s="3" t="s">
        <v>40</v>
      </c>
      <c r="B8" s="14" t="s">
        <v>2</v>
      </c>
      <c r="C8" s="16" t="s">
        <v>32</v>
      </c>
      <c r="D8" s="3" t="s">
        <v>41</v>
      </c>
      <c r="E8" s="3" t="s">
        <v>39</v>
      </c>
      <c r="F8" s="15" t="str">
        <f>IF(B8&lt;&gt;"","✅ Mapped","⚠️ Not Set")</f>
        <v>✅ Mapped</v>
      </c>
      <c r="H8" s="20" t="s">
        <v>3</v>
      </c>
    </row>
    <row r="9" spans="1:8" x14ac:dyDescent="0.3">
      <c r="A9" s="10" t="s">
        <v>42</v>
      </c>
      <c r="B9" s="14" t="s">
        <v>3</v>
      </c>
      <c r="C9" s="18" t="s">
        <v>43</v>
      </c>
      <c r="D9" s="10" t="s">
        <v>44</v>
      </c>
      <c r="E9" s="10" t="s">
        <v>39</v>
      </c>
      <c r="F9" s="11" t="str">
        <f>IF(B9&lt;&gt;"","✅ Mapped","⚠️ Not Set")</f>
        <v>✅ Mapped</v>
      </c>
      <c r="H9" s="20" t="s">
        <v>4</v>
      </c>
    </row>
    <row r="10" spans="1:8" x14ac:dyDescent="0.3">
      <c r="A10" s="3" t="s">
        <v>45</v>
      </c>
      <c r="B10" s="14" t="s">
        <v>6</v>
      </c>
      <c r="C10" s="19" t="s">
        <v>43</v>
      </c>
      <c r="D10" s="3" t="s">
        <v>46</v>
      </c>
      <c r="E10" s="3" t="s">
        <v>36</v>
      </c>
      <c r="F10" s="15" t="str">
        <f>IF(B10&lt;&gt;"","✅ Mapped","⚠️ Not Set")</f>
        <v>✅ Mapped</v>
      </c>
      <c r="H10" s="20" t="s">
        <v>5</v>
      </c>
    </row>
    <row r="11" spans="1:8" x14ac:dyDescent="0.3">
      <c r="A11" s="10" t="s">
        <v>47</v>
      </c>
      <c r="B11" s="14" t="s">
        <v>4</v>
      </c>
      <c r="C11" s="18" t="s">
        <v>43</v>
      </c>
      <c r="D11" s="10" t="s">
        <v>48</v>
      </c>
      <c r="E11" s="10" t="s">
        <v>36</v>
      </c>
      <c r="F11" s="11" t="str">
        <f>IF(B11&lt;&gt;"","✅ Mapped","⚠️ Not Set")</f>
        <v>✅ Mapped</v>
      </c>
      <c r="H11" s="20" t="s">
        <v>6</v>
      </c>
    </row>
    <row r="12" spans="1:8" x14ac:dyDescent="0.3">
      <c r="A12" s="3" t="s">
        <v>49</v>
      </c>
      <c r="B12" s="14" t="s">
        <v>7</v>
      </c>
      <c r="C12" s="19" t="s">
        <v>43</v>
      </c>
      <c r="D12" s="3" t="s">
        <v>50</v>
      </c>
      <c r="E12" s="3" t="s">
        <v>39</v>
      </c>
      <c r="F12" s="15" t="str">
        <f>IF(B12&lt;&gt;"","✅ Mapped","⚠️ Not Set")</f>
        <v>✅ Mapped</v>
      </c>
      <c r="H12" s="20" t="s">
        <v>7</v>
      </c>
    </row>
    <row r="14" spans="1:8" x14ac:dyDescent="0.3">
      <c r="A14" t="s">
        <v>53</v>
      </c>
    </row>
    <row r="15" spans="1:8" ht="28.05" customHeight="1" x14ac:dyDescent="0.3">
      <c r="A15" s="21" t="s">
        <v>52</v>
      </c>
    </row>
    <row r="16" spans="1:8" ht="22.05" customHeight="1" x14ac:dyDescent="0.3">
      <c r="A16" s="22" t="s">
        <v>54</v>
      </c>
      <c r="B16" s="13">
        <v>3</v>
      </c>
      <c r="C16" s="20" t="s">
        <v>55</v>
      </c>
    </row>
    <row r="17" spans="1:3" ht="22.05" customHeight="1" x14ac:dyDescent="0.3">
      <c r="A17" s="17" t="s">
        <v>56</v>
      </c>
      <c r="B17" s="13">
        <v>25</v>
      </c>
      <c r="C17" s="3" t="s">
        <v>57</v>
      </c>
    </row>
    <row r="18" spans="1:3" ht="22.05" customHeight="1" x14ac:dyDescent="0.3">
      <c r="A18" s="22" t="s">
        <v>58</v>
      </c>
      <c r="B18" s="13">
        <v>5</v>
      </c>
      <c r="C18" s="20" t="s">
        <v>59</v>
      </c>
    </row>
    <row r="19" spans="1:3" ht="22.05" customHeight="1" x14ac:dyDescent="0.3">
      <c r="A19" s="17" t="s">
        <v>60</v>
      </c>
      <c r="B19" s="13" t="b">
        <v>0</v>
      </c>
      <c r="C19" s="3" t="s">
        <v>61</v>
      </c>
    </row>
    <row r="20" spans="1:3" ht="22.05" customHeight="1" x14ac:dyDescent="0.3">
      <c r="A20" s="22" t="s">
        <v>62</v>
      </c>
      <c r="B20" s="13" t="s">
        <v>63</v>
      </c>
      <c r="C20" s="20" t="s">
        <v>64</v>
      </c>
    </row>
    <row r="21" spans="1:3" ht="22.05" customHeight="1" x14ac:dyDescent="0.3">
      <c r="A21" s="17" t="s">
        <v>65</v>
      </c>
      <c r="B21" s="13" t="s">
        <v>66</v>
      </c>
      <c r="C21" s="3" t="s">
        <v>67</v>
      </c>
    </row>
    <row r="22" spans="1:3" ht="22.05" customHeight="1" x14ac:dyDescent="0.3">
      <c r="A22" s="22" t="s">
        <v>68</v>
      </c>
      <c r="B22" s="13" t="b">
        <v>0</v>
      </c>
      <c r="C22" s="20" t="s">
        <v>69</v>
      </c>
    </row>
    <row r="23" spans="1:3" ht="22.05" customHeight="1" x14ac:dyDescent="0.3">
      <c r="A23" s="17" t="s">
        <v>70</v>
      </c>
      <c r="B23" s="13"/>
      <c r="C23" s="3" t="s">
        <v>71</v>
      </c>
    </row>
  </sheetData>
  <mergeCells count="1">
    <mergeCell ref="A1:F1"/>
  </mergeCells>
  <dataValidations count="2">
    <dataValidation type="list" allowBlank="1" showInputMessage="1" showErrorMessage="1" sqref="B5 B6 B7 B8 B9 B10 B11 B12" xr:uid="{5F124A9E-BAF5-4858-9085-7E02CB89CC61}">
      <formula1>"Date,Product,Category,Region,Units_Sold,Revenue,Cost,Customer_Segment"</formula1>
    </dataValidation>
    <dataValidation type="list" allowBlank="1" showInputMessage="1" showErrorMessage="1" sqref="B19 B22" xr:uid="{A709C219-4122-4388-B6BF-ADC8E04E5A86}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B88C-8756-4A13-ACE6-582ECBD90CF5}">
  <sheetPr>
    <tabColor rgb="FFFF0000"/>
  </sheetPr>
  <dimension ref="B1:O4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" customWidth="1"/>
    <col min="2" max="2" width="24.109375" customWidth="1"/>
    <col min="3" max="3" width="53.6640625" customWidth="1"/>
    <col min="4" max="5" width="20.33203125" customWidth="1"/>
    <col min="6" max="9" width="18.5546875" customWidth="1"/>
    <col min="10" max="10" width="25.88671875" customWidth="1"/>
    <col min="11" max="15" width="18.5546875" customWidth="1"/>
  </cols>
  <sheetData>
    <row r="1" spans="2:15" ht="54" customHeight="1" x14ac:dyDescent="0.6">
      <c r="B1" s="44" t="s">
        <v>112</v>
      </c>
      <c r="C1" s="26"/>
      <c r="D1" s="26"/>
      <c r="E1" s="45" t="s">
        <v>113</v>
      </c>
      <c r="F1" s="26"/>
      <c r="G1" s="26"/>
      <c r="H1" s="26"/>
      <c r="I1" s="46" t="s">
        <v>114</v>
      </c>
    </row>
    <row r="3" spans="2:15" ht="30" customHeight="1" x14ac:dyDescent="0.35">
      <c r="B3" s="29" t="s">
        <v>115</v>
      </c>
    </row>
    <row r="4" spans="2:15" ht="22.05" customHeight="1" x14ac:dyDescent="0.3">
      <c r="B4" s="47" t="s">
        <v>116</v>
      </c>
      <c r="D4" s="47" t="s">
        <v>117</v>
      </c>
      <c r="F4" s="47" t="s">
        <v>118</v>
      </c>
      <c r="H4" s="47" t="s">
        <v>119</v>
      </c>
      <c r="J4" s="47" t="s">
        <v>120</v>
      </c>
      <c r="L4" s="47" t="s">
        <v>121</v>
      </c>
    </row>
    <row r="5" spans="2:15" ht="43.95" customHeight="1" x14ac:dyDescent="0.5">
      <c r="B5" s="48">
        <v>0</v>
      </c>
      <c r="D5" s="49">
        <v>0</v>
      </c>
      <c r="F5" s="50">
        <v>0</v>
      </c>
      <c r="H5" s="49" t="s">
        <v>111</v>
      </c>
      <c r="J5" s="49" t="s">
        <v>111</v>
      </c>
      <c r="L5" s="49">
        <v>0</v>
      </c>
    </row>
    <row r="6" spans="2:15" ht="18" customHeight="1" x14ac:dyDescent="0.3">
      <c r="B6" s="51" t="s">
        <v>122</v>
      </c>
      <c r="D6" s="51" t="s">
        <v>123</v>
      </c>
      <c r="F6" s="51" t="s">
        <v>124</v>
      </c>
      <c r="H6" s="51" t="s">
        <v>125</v>
      </c>
      <c r="J6" s="51" t="s">
        <v>125</v>
      </c>
      <c r="L6" s="51" t="s">
        <v>126</v>
      </c>
    </row>
    <row r="8" spans="2:15" ht="30" customHeight="1" x14ac:dyDescent="0.35">
      <c r="B8" s="34" t="s">
        <v>127</v>
      </c>
      <c r="J8" s="37" t="s">
        <v>145</v>
      </c>
    </row>
    <row r="9" spans="2:15" ht="22.05" customHeight="1" x14ac:dyDescent="0.3">
      <c r="B9" s="52" t="s">
        <v>128</v>
      </c>
      <c r="C9" s="53" t="s">
        <v>129</v>
      </c>
      <c r="D9" s="54"/>
      <c r="E9" s="54"/>
      <c r="F9" s="54"/>
      <c r="G9" s="54"/>
      <c r="H9" s="54"/>
      <c r="I9" s="54"/>
      <c r="J9" s="67" t="s">
        <v>2</v>
      </c>
      <c r="K9" s="67" t="s">
        <v>5</v>
      </c>
      <c r="L9" s="67" t="s">
        <v>140</v>
      </c>
      <c r="M9" s="67" t="s">
        <v>146</v>
      </c>
      <c r="N9" s="67" t="s">
        <v>147</v>
      </c>
      <c r="O9" s="67" t="s">
        <v>148</v>
      </c>
    </row>
    <row r="10" spans="2:15" ht="19.95" customHeight="1" x14ac:dyDescent="0.3">
      <c r="B10" s="52" t="s">
        <v>130</v>
      </c>
      <c r="C10" s="55" t="s">
        <v>131</v>
      </c>
      <c r="D10" s="56"/>
      <c r="E10" s="56"/>
      <c r="F10" s="56"/>
      <c r="G10" s="56"/>
      <c r="H10" s="56"/>
      <c r="I10" s="56"/>
      <c r="J10" s="39" t="s">
        <v>111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</row>
    <row r="11" spans="2:15" ht="19.95" customHeight="1" x14ac:dyDescent="0.3">
      <c r="B11" s="52" t="s">
        <v>132</v>
      </c>
      <c r="C11" s="57" t="s">
        <v>133</v>
      </c>
      <c r="D11" s="58"/>
      <c r="E11" s="58"/>
      <c r="F11" s="58"/>
      <c r="G11" s="58"/>
      <c r="H11" s="58"/>
      <c r="I11" s="58"/>
      <c r="J11" s="3" t="s">
        <v>111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2:15" ht="19.95" customHeight="1" x14ac:dyDescent="0.3">
      <c r="B12" s="52" t="s">
        <v>134</v>
      </c>
      <c r="C12" s="59" t="s">
        <v>135</v>
      </c>
      <c r="D12" s="60"/>
      <c r="E12" s="60"/>
      <c r="F12" s="60"/>
      <c r="G12" s="60"/>
      <c r="H12" s="60"/>
      <c r="I12" s="60"/>
      <c r="J12" s="39" t="s">
        <v>111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</row>
    <row r="13" spans="2:15" ht="19.95" customHeight="1" x14ac:dyDescent="0.3">
      <c r="B13" s="52" t="s">
        <v>136</v>
      </c>
      <c r="C13" s="61" t="s">
        <v>137</v>
      </c>
      <c r="D13" s="62"/>
      <c r="E13" s="62"/>
      <c r="F13" s="62"/>
      <c r="G13" s="62"/>
      <c r="H13" s="62"/>
      <c r="I13" s="62"/>
      <c r="J13" s="3" t="s">
        <v>111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2:15" ht="19.95" customHeight="1" x14ac:dyDescent="0.3">
      <c r="J14" s="39" t="s">
        <v>111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</row>
    <row r="15" spans="2:15" ht="19.95" customHeight="1" x14ac:dyDescent="0.35">
      <c r="B15" s="33" t="s">
        <v>138</v>
      </c>
      <c r="J15" s="3" t="s">
        <v>111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2:15" ht="22.05" customHeight="1" x14ac:dyDescent="0.3">
      <c r="B16" s="47" t="s">
        <v>139</v>
      </c>
      <c r="C16" s="1" t="s">
        <v>5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</row>
    <row r="17" spans="2:15" ht="30" customHeight="1" x14ac:dyDescent="0.35">
      <c r="B17" s="3" t="s">
        <v>111</v>
      </c>
      <c r="C17" s="63">
        <v>0</v>
      </c>
      <c r="D17" s="3">
        <v>0</v>
      </c>
      <c r="E17" s="3">
        <v>0</v>
      </c>
      <c r="F17" s="65">
        <v>0</v>
      </c>
      <c r="G17" s="3">
        <f>0</f>
        <v>0</v>
      </c>
      <c r="H17" s="3" t="s">
        <v>111</v>
      </c>
      <c r="J17" s="29" t="s">
        <v>149</v>
      </c>
    </row>
    <row r="18" spans="2:15" ht="22.05" customHeight="1" x14ac:dyDescent="0.3">
      <c r="B18" s="20" t="s">
        <v>111</v>
      </c>
      <c r="C18" s="64">
        <v>0</v>
      </c>
      <c r="D18" s="20">
        <v>0</v>
      </c>
      <c r="E18" s="20">
        <v>0</v>
      </c>
      <c r="F18" s="66">
        <v>0</v>
      </c>
      <c r="G18" s="20">
        <f>C18-C17</f>
        <v>0</v>
      </c>
      <c r="H18" s="20" t="s">
        <v>111</v>
      </c>
      <c r="J18" s="9" t="s">
        <v>3</v>
      </c>
      <c r="K18" s="9" t="s">
        <v>5</v>
      </c>
      <c r="L18" s="9" t="s">
        <v>140</v>
      </c>
      <c r="M18" s="9" t="s">
        <v>150</v>
      </c>
      <c r="N18" s="9" t="s">
        <v>30</v>
      </c>
      <c r="O18" s="9" t="s">
        <v>151</v>
      </c>
    </row>
    <row r="19" spans="2:15" ht="19.95" customHeight="1" x14ac:dyDescent="0.3">
      <c r="B19" s="3" t="s">
        <v>111</v>
      </c>
      <c r="C19" s="63">
        <v>0</v>
      </c>
      <c r="D19" s="3">
        <v>0</v>
      </c>
      <c r="E19" s="3">
        <v>0</v>
      </c>
      <c r="F19" s="65">
        <v>0</v>
      </c>
      <c r="G19" s="3">
        <f>C19-C18</f>
        <v>0</v>
      </c>
      <c r="H19" s="3" t="s">
        <v>111</v>
      </c>
      <c r="J19" s="3" t="s">
        <v>111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2:15" ht="19.95" customHeight="1" x14ac:dyDescent="0.3">
      <c r="B20" s="20" t="s">
        <v>111</v>
      </c>
      <c r="C20" s="64">
        <v>0</v>
      </c>
      <c r="D20" s="20">
        <v>0</v>
      </c>
      <c r="E20" s="20">
        <v>0</v>
      </c>
      <c r="F20" s="66">
        <v>0</v>
      </c>
      <c r="G20" s="20">
        <f>C20-C19</f>
        <v>0</v>
      </c>
      <c r="H20" s="20" t="s">
        <v>111</v>
      </c>
      <c r="J20" s="32" t="s">
        <v>111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</row>
    <row r="21" spans="2:15" ht="19.95" customHeight="1" x14ac:dyDescent="0.3">
      <c r="B21" s="3" t="s">
        <v>111</v>
      </c>
      <c r="C21" s="63">
        <v>0</v>
      </c>
      <c r="D21" s="3">
        <v>0</v>
      </c>
      <c r="E21" s="3">
        <v>0</v>
      </c>
      <c r="F21" s="65">
        <v>0</v>
      </c>
      <c r="G21" s="3">
        <f>C21-C20</f>
        <v>0</v>
      </c>
      <c r="H21" s="3" t="s">
        <v>111</v>
      </c>
      <c r="J21" s="3" t="s">
        <v>111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2:15" ht="19.95" customHeight="1" x14ac:dyDescent="0.3">
      <c r="B22" s="20" t="s">
        <v>111</v>
      </c>
      <c r="C22" s="64">
        <v>0</v>
      </c>
      <c r="D22" s="20">
        <v>0</v>
      </c>
      <c r="E22" s="20">
        <v>0</v>
      </c>
      <c r="F22" s="66">
        <v>0</v>
      </c>
      <c r="G22" s="20">
        <f>C22-C21</f>
        <v>0</v>
      </c>
      <c r="H22" s="20" t="s">
        <v>111</v>
      </c>
      <c r="J22" s="32" t="s">
        <v>111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</row>
    <row r="23" spans="2:15" ht="19.95" customHeight="1" x14ac:dyDescent="0.3">
      <c r="B23" s="3" t="s">
        <v>111</v>
      </c>
      <c r="C23" s="63">
        <v>0</v>
      </c>
      <c r="D23" s="3">
        <v>0</v>
      </c>
      <c r="E23" s="3">
        <v>0</v>
      </c>
      <c r="F23" s="65">
        <v>0</v>
      </c>
      <c r="G23" s="3">
        <f>C23-C22</f>
        <v>0</v>
      </c>
      <c r="H23" s="3" t="s">
        <v>111</v>
      </c>
      <c r="J23" s="3" t="s">
        <v>111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2:15" ht="19.95" customHeight="1" x14ac:dyDescent="0.3">
      <c r="B24" s="20" t="s">
        <v>111</v>
      </c>
      <c r="C24" s="64">
        <v>0</v>
      </c>
      <c r="D24" s="20">
        <v>0</v>
      </c>
      <c r="E24" s="20">
        <v>0</v>
      </c>
      <c r="F24" s="66">
        <v>0</v>
      </c>
      <c r="G24" s="20">
        <f>C24-C23</f>
        <v>0</v>
      </c>
      <c r="H24" s="20" t="s">
        <v>111</v>
      </c>
    </row>
    <row r="25" spans="2:15" ht="19.95" customHeight="1" x14ac:dyDescent="0.3">
      <c r="B25" s="3" t="s">
        <v>111</v>
      </c>
      <c r="C25" s="63">
        <v>0</v>
      </c>
      <c r="D25" s="3">
        <v>0</v>
      </c>
      <c r="E25" s="3">
        <v>0</v>
      </c>
      <c r="F25" s="65">
        <v>0</v>
      </c>
      <c r="G25" s="3">
        <f>C25-C24</f>
        <v>0</v>
      </c>
      <c r="H25" s="3" t="s">
        <v>111</v>
      </c>
    </row>
    <row r="26" spans="2:15" ht="19.95" customHeight="1" x14ac:dyDescent="0.3">
      <c r="B26" s="20" t="s">
        <v>111</v>
      </c>
      <c r="C26" s="64">
        <v>0</v>
      </c>
      <c r="D26" s="20">
        <v>0</v>
      </c>
      <c r="E26" s="20">
        <v>0</v>
      </c>
      <c r="F26" s="66">
        <v>0</v>
      </c>
      <c r="G26" s="20">
        <f>C26-C25</f>
        <v>0</v>
      </c>
      <c r="H26" s="20" t="s">
        <v>111</v>
      </c>
    </row>
    <row r="27" spans="2:15" ht="19.95" customHeight="1" x14ac:dyDescent="0.3">
      <c r="B27" s="3" t="s">
        <v>111</v>
      </c>
      <c r="C27" s="63">
        <v>0</v>
      </c>
      <c r="D27" s="3">
        <v>0</v>
      </c>
      <c r="E27" s="3">
        <v>0</v>
      </c>
      <c r="F27" s="65">
        <v>0</v>
      </c>
      <c r="G27" s="3">
        <f>C27-C26</f>
        <v>0</v>
      </c>
      <c r="H27" s="3" t="s">
        <v>111</v>
      </c>
    </row>
    <row r="28" spans="2:15" ht="19.95" customHeight="1" x14ac:dyDescent="0.3">
      <c r="B28" s="20" t="s">
        <v>111</v>
      </c>
      <c r="C28" s="64">
        <v>0</v>
      </c>
      <c r="D28" s="20">
        <v>0</v>
      </c>
      <c r="E28" s="20">
        <v>0</v>
      </c>
      <c r="F28" s="66">
        <v>0</v>
      </c>
      <c r="G28" s="20">
        <f>C28-C27</f>
        <v>0</v>
      </c>
      <c r="H28" s="20" t="s">
        <v>111</v>
      </c>
    </row>
    <row r="30" spans="2:15" ht="30" customHeight="1" x14ac:dyDescent="0.35">
      <c r="B30" s="68" t="s">
        <v>152</v>
      </c>
    </row>
    <row r="31" spans="2:15" ht="22.05" customHeight="1" x14ac:dyDescent="0.3">
      <c r="B31" s="69" t="s">
        <v>0</v>
      </c>
      <c r="C31" s="69" t="s">
        <v>153</v>
      </c>
      <c r="D31" s="69" t="s">
        <v>154</v>
      </c>
      <c r="E31" s="69" t="s">
        <v>155</v>
      </c>
      <c r="F31" s="69" t="s">
        <v>156</v>
      </c>
      <c r="G31" s="69" t="s">
        <v>157</v>
      </c>
      <c r="H31" s="69" t="s">
        <v>28</v>
      </c>
    </row>
    <row r="32" spans="2:15" ht="19.95" customHeight="1" x14ac:dyDescent="0.3">
      <c r="B32" s="39" t="s">
        <v>111</v>
      </c>
      <c r="C32" s="39" t="s">
        <v>111</v>
      </c>
      <c r="D32" s="39" t="s">
        <v>111</v>
      </c>
      <c r="E32" s="39" t="s">
        <v>111</v>
      </c>
      <c r="F32" s="39" t="s">
        <v>111</v>
      </c>
      <c r="G32" s="39" t="s">
        <v>111</v>
      </c>
      <c r="H32" s="39" t="s">
        <v>111</v>
      </c>
    </row>
    <row r="33" spans="2:8" ht="19.95" customHeight="1" x14ac:dyDescent="0.3">
      <c r="B33" s="3" t="s">
        <v>111</v>
      </c>
      <c r="C33" s="3" t="s">
        <v>111</v>
      </c>
      <c r="D33" s="3" t="s">
        <v>111</v>
      </c>
      <c r="E33" s="3" t="s">
        <v>111</v>
      </c>
      <c r="F33" s="3" t="s">
        <v>111</v>
      </c>
      <c r="G33" s="3" t="s">
        <v>111</v>
      </c>
      <c r="H33" s="3" t="s">
        <v>111</v>
      </c>
    </row>
    <row r="34" spans="2:8" ht="19.95" customHeight="1" x14ac:dyDescent="0.3">
      <c r="B34" s="39" t="s">
        <v>111</v>
      </c>
      <c r="C34" s="39" t="s">
        <v>111</v>
      </c>
      <c r="D34" s="39" t="s">
        <v>111</v>
      </c>
      <c r="E34" s="39" t="s">
        <v>111</v>
      </c>
      <c r="F34" s="39" t="s">
        <v>111</v>
      </c>
      <c r="G34" s="39" t="s">
        <v>111</v>
      </c>
      <c r="H34" s="39" t="s">
        <v>111</v>
      </c>
    </row>
    <row r="35" spans="2:8" ht="19.95" customHeight="1" x14ac:dyDescent="0.3">
      <c r="B35" s="3" t="s">
        <v>111</v>
      </c>
      <c r="C35" s="3" t="s">
        <v>111</v>
      </c>
      <c r="D35" s="3" t="s">
        <v>111</v>
      </c>
      <c r="E35" s="3" t="s">
        <v>111</v>
      </c>
      <c r="F35" s="3" t="s">
        <v>111</v>
      </c>
      <c r="G35" s="3" t="s">
        <v>111</v>
      </c>
      <c r="H35" s="3" t="s">
        <v>111</v>
      </c>
    </row>
    <row r="36" spans="2:8" ht="19.95" customHeight="1" x14ac:dyDescent="0.3">
      <c r="B36" s="39" t="s">
        <v>111</v>
      </c>
      <c r="C36" s="39" t="s">
        <v>111</v>
      </c>
      <c r="D36" s="39" t="s">
        <v>111</v>
      </c>
      <c r="E36" s="39" t="s">
        <v>111</v>
      </c>
      <c r="F36" s="39" t="s">
        <v>111</v>
      </c>
      <c r="G36" s="39" t="s">
        <v>111</v>
      </c>
      <c r="H36" s="39" t="s">
        <v>111</v>
      </c>
    </row>
    <row r="37" spans="2:8" ht="19.95" customHeight="1" x14ac:dyDescent="0.3">
      <c r="B37" s="3" t="s">
        <v>111</v>
      </c>
      <c r="C37" s="3" t="s">
        <v>111</v>
      </c>
      <c r="D37" s="3" t="s">
        <v>111</v>
      </c>
      <c r="E37" s="3" t="s">
        <v>111</v>
      </c>
      <c r="F37" s="3" t="s">
        <v>111</v>
      </c>
      <c r="G37" s="3" t="s">
        <v>111</v>
      </c>
      <c r="H37" s="3" t="s">
        <v>111</v>
      </c>
    </row>
    <row r="40" spans="2:8" ht="19.95" customHeight="1" x14ac:dyDescent="0.3">
      <c r="B40" s="70" t="s">
        <v>158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2582-CC13-47A6-82EA-1413434E6B0E}">
  <sheetPr>
    <tabColor rgb="FF833C00"/>
  </sheetPr>
  <dimension ref="B1:C96"/>
  <sheetViews>
    <sheetView tabSelected="1" workbookViewId="0">
      <selection activeCell="C95" sqref="C95"/>
    </sheetView>
  </sheetViews>
  <sheetFormatPr defaultRowHeight="14.4" x14ac:dyDescent="0.3"/>
  <cols>
    <col min="2" max="2" width="63" customWidth="1"/>
    <col min="3" max="3" width="51.88671875" customWidth="1"/>
  </cols>
  <sheetData>
    <row r="1" spans="2:3" ht="46.05" customHeight="1" x14ac:dyDescent="0.35">
      <c r="B1" s="75" t="s">
        <v>159</v>
      </c>
      <c r="C1" s="76"/>
    </row>
    <row r="2" spans="2:3" ht="22.05" customHeight="1" x14ac:dyDescent="0.3">
      <c r="B2" s="77" t="s">
        <v>160</v>
      </c>
      <c r="C2" s="78"/>
    </row>
    <row r="3" spans="2:3" x14ac:dyDescent="0.3">
      <c r="B3" s="74"/>
      <c r="C3" s="74"/>
    </row>
    <row r="4" spans="2:3" ht="28.05" customHeight="1" x14ac:dyDescent="0.3">
      <c r="B4" s="79" t="s">
        <v>161</v>
      </c>
      <c r="C4" s="79"/>
    </row>
    <row r="5" spans="2:3" ht="18" customHeight="1" x14ac:dyDescent="0.3">
      <c r="B5" s="80" t="s">
        <v>163</v>
      </c>
      <c r="C5" s="74"/>
    </row>
    <row r="6" spans="2:3" ht="18" customHeight="1" x14ac:dyDescent="0.3">
      <c r="B6" s="80" t="s">
        <v>164</v>
      </c>
      <c r="C6" s="74"/>
    </row>
    <row r="7" spans="2:3" ht="18" customHeight="1" x14ac:dyDescent="0.3">
      <c r="B7" s="80"/>
      <c r="C7" s="74"/>
    </row>
    <row r="8" spans="2:3" ht="18" customHeight="1" x14ac:dyDescent="0.3">
      <c r="B8" s="80" t="s">
        <v>181</v>
      </c>
      <c r="C8" s="74"/>
    </row>
    <row r="9" spans="2:3" ht="18" customHeight="1" x14ac:dyDescent="0.3">
      <c r="B9" s="80" t="s">
        <v>182</v>
      </c>
      <c r="C9" s="74"/>
    </row>
    <row r="10" spans="2:3" ht="18" customHeight="1" x14ac:dyDescent="0.3">
      <c r="B10" s="74"/>
      <c r="C10" s="74"/>
    </row>
    <row r="11" spans="2:3" ht="18" customHeight="1" x14ac:dyDescent="0.3">
      <c r="B11" s="79" t="s">
        <v>183</v>
      </c>
      <c r="C11" s="79"/>
    </row>
    <row r="12" spans="2:3" ht="18" customHeight="1" x14ac:dyDescent="0.3">
      <c r="B12" s="74" t="s">
        <v>165</v>
      </c>
      <c r="C12" s="74"/>
    </row>
    <row r="13" spans="2:3" ht="18" customHeight="1" x14ac:dyDescent="0.3">
      <c r="B13" s="74" t="s">
        <v>184</v>
      </c>
      <c r="C13" s="74"/>
    </row>
    <row r="14" spans="2:3" ht="18" customHeight="1" x14ac:dyDescent="0.3">
      <c r="B14" s="74" t="s">
        <v>185</v>
      </c>
      <c r="C14" s="74"/>
    </row>
    <row r="15" spans="2:3" ht="18" customHeight="1" x14ac:dyDescent="0.3">
      <c r="B15" s="74" t="s">
        <v>186</v>
      </c>
      <c r="C15" s="74"/>
    </row>
    <row r="16" spans="2:3" ht="18" customHeight="1" x14ac:dyDescent="0.3">
      <c r="B16" s="74" t="s">
        <v>187</v>
      </c>
      <c r="C16" s="74"/>
    </row>
    <row r="17" spans="2:3" x14ac:dyDescent="0.3">
      <c r="B17" s="74" t="s">
        <v>188</v>
      </c>
      <c r="C17" s="74"/>
    </row>
    <row r="18" spans="2:3" x14ac:dyDescent="0.3">
      <c r="B18" s="74" t="s">
        <v>189</v>
      </c>
      <c r="C18" s="74"/>
    </row>
    <row r="19" spans="2:3" x14ac:dyDescent="0.3">
      <c r="B19" s="79"/>
      <c r="C19" s="79"/>
    </row>
    <row r="20" spans="2:3" x14ac:dyDescent="0.3">
      <c r="B20" s="86" t="s">
        <v>190</v>
      </c>
      <c r="C20" s="74"/>
    </row>
    <row r="21" spans="2:3" x14ac:dyDescent="0.3">
      <c r="B21" s="86" t="s">
        <v>191</v>
      </c>
      <c r="C21" s="74"/>
    </row>
    <row r="22" spans="2:3" ht="28.05" customHeight="1" x14ac:dyDescent="0.3">
      <c r="B22" s="86" t="s">
        <v>192</v>
      </c>
      <c r="C22" s="74"/>
    </row>
    <row r="23" spans="2:3" ht="18" customHeight="1" x14ac:dyDescent="0.3">
      <c r="B23" s="86" t="s">
        <v>193</v>
      </c>
      <c r="C23" s="74"/>
    </row>
    <row r="24" spans="2:3" ht="18" customHeight="1" x14ac:dyDescent="0.3">
      <c r="B24" s="86" t="s">
        <v>194</v>
      </c>
      <c r="C24" s="74"/>
    </row>
    <row r="25" spans="2:3" ht="18" customHeight="1" x14ac:dyDescent="0.3">
      <c r="B25" s="86" t="s">
        <v>195</v>
      </c>
      <c r="C25" s="74"/>
    </row>
    <row r="26" spans="2:3" ht="18" customHeight="1" x14ac:dyDescent="0.3">
      <c r="B26" s="79"/>
      <c r="C26" s="79"/>
    </row>
    <row r="27" spans="2:3" ht="18" customHeight="1" x14ac:dyDescent="0.3">
      <c r="B27" s="74" t="s">
        <v>162</v>
      </c>
      <c r="C27" s="74"/>
    </row>
    <row r="28" spans="2:3" ht="18" customHeight="1" x14ac:dyDescent="0.3">
      <c r="B28" s="74" t="s">
        <v>196</v>
      </c>
      <c r="C28" s="74"/>
    </row>
    <row r="29" spans="2:3" ht="27.6" x14ac:dyDescent="0.3">
      <c r="B29" s="74" t="s">
        <v>197</v>
      </c>
      <c r="C29" s="74"/>
    </row>
    <row r="30" spans="2:3" ht="28.05" customHeight="1" x14ac:dyDescent="0.3">
      <c r="B30" s="74" t="s">
        <v>198</v>
      </c>
      <c r="C30" s="74"/>
    </row>
    <row r="31" spans="2:3" ht="18" customHeight="1" x14ac:dyDescent="0.3">
      <c r="B31" s="80"/>
      <c r="C31" s="74"/>
    </row>
    <row r="32" spans="2:3" ht="18" customHeight="1" x14ac:dyDescent="0.3">
      <c r="B32" s="80" t="s">
        <v>199</v>
      </c>
      <c r="C32" s="74"/>
    </row>
    <row r="33" spans="2:3" ht="18" customHeight="1" x14ac:dyDescent="0.3">
      <c r="B33" s="80" t="s">
        <v>166</v>
      </c>
      <c r="C33" s="74"/>
    </row>
    <row r="34" spans="2:3" ht="18" customHeight="1" x14ac:dyDescent="0.3">
      <c r="B34" s="80"/>
      <c r="C34" s="74"/>
    </row>
    <row r="35" spans="2:3" ht="18" customHeight="1" x14ac:dyDescent="0.3">
      <c r="B35" s="80" t="s">
        <v>200</v>
      </c>
      <c r="C35" s="74"/>
    </row>
    <row r="36" spans="2:3" ht="18" customHeight="1" x14ac:dyDescent="0.3">
      <c r="B36" s="80" t="s">
        <v>167</v>
      </c>
      <c r="C36" s="74"/>
    </row>
    <row r="37" spans="2:3" ht="18" customHeight="1" x14ac:dyDescent="0.3">
      <c r="B37" s="80"/>
      <c r="C37" s="74"/>
    </row>
    <row r="38" spans="2:3" ht="18" customHeight="1" x14ac:dyDescent="0.3">
      <c r="B38" s="80" t="s">
        <v>201</v>
      </c>
      <c r="C38" s="74"/>
    </row>
    <row r="39" spans="2:3" ht="18" customHeight="1" x14ac:dyDescent="0.3">
      <c r="B39" s="81" t="s">
        <v>168</v>
      </c>
      <c r="C39" s="74"/>
    </row>
    <row r="40" spans="2:3" ht="18" customHeight="1" x14ac:dyDescent="0.3">
      <c r="B40" s="80"/>
      <c r="C40" s="74"/>
    </row>
    <row r="41" spans="2:3" ht="18" customHeight="1" x14ac:dyDescent="0.3">
      <c r="B41" s="74" t="s">
        <v>202</v>
      </c>
      <c r="C41" s="74"/>
    </row>
    <row r="42" spans="2:3" ht="18" customHeight="1" x14ac:dyDescent="0.3">
      <c r="B42" s="79" t="s">
        <v>178</v>
      </c>
      <c r="C42" s="79"/>
    </row>
    <row r="43" spans="2:3" ht="18" customHeight="1" x14ac:dyDescent="0.3">
      <c r="B43" s="74"/>
      <c r="C43" s="74"/>
    </row>
    <row r="44" spans="2:3" ht="18" customHeight="1" x14ac:dyDescent="0.3">
      <c r="B44" s="74" t="s">
        <v>203</v>
      </c>
      <c r="C44" s="74"/>
    </row>
    <row r="45" spans="2:3" ht="18" customHeight="1" x14ac:dyDescent="0.3">
      <c r="B45" s="80" t="s">
        <v>204</v>
      </c>
      <c r="C45" s="74"/>
    </row>
    <row r="46" spans="2:3" ht="18" customHeight="1" x14ac:dyDescent="0.3">
      <c r="B46" s="80"/>
      <c r="C46" s="74"/>
    </row>
    <row r="47" spans="2:3" ht="18" customHeight="1" x14ac:dyDescent="0.3">
      <c r="B47" s="80" t="s">
        <v>95</v>
      </c>
      <c r="C47" s="74"/>
    </row>
    <row r="48" spans="2:3" ht="18" customHeight="1" x14ac:dyDescent="0.3">
      <c r="B48" s="80" t="s">
        <v>205</v>
      </c>
      <c r="C48" s="74"/>
    </row>
    <row r="49" spans="2:3" ht="22.05" customHeight="1" x14ac:dyDescent="0.3">
      <c r="B49" s="80" t="s">
        <v>206</v>
      </c>
      <c r="C49" s="74"/>
    </row>
    <row r="50" spans="2:3" ht="19.95" customHeight="1" x14ac:dyDescent="0.3">
      <c r="B50" s="80" t="s">
        <v>169</v>
      </c>
      <c r="C50" s="74"/>
    </row>
    <row r="51" spans="2:3" ht="19.95" customHeight="1" x14ac:dyDescent="0.3">
      <c r="B51" s="80" t="s">
        <v>97</v>
      </c>
      <c r="C51" s="74"/>
    </row>
    <row r="52" spans="2:3" ht="19.95" customHeight="1" x14ac:dyDescent="0.3">
      <c r="B52" s="81"/>
      <c r="C52" s="74"/>
    </row>
    <row r="53" spans="2:3" ht="19.95" customHeight="1" x14ac:dyDescent="0.3">
      <c r="B53" s="80" t="s">
        <v>98</v>
      </c>
      <c r="C53" s="74"/>
    </row>
    <row r="54" spans="2:3" ht="19.95" customHeight="1" x14ac:dyDescent="0.3">
      <c r="B54" s="80" t="s">
        <v>170</v>
      </c>
      <c r="C54" s="74"/>
    </row>
    <row r="55" spans="2:3" ht="18" customHeight="1" x14ac:dyDescent="0.3">
      <c r="B55" s="80" t="s">
        <v>207</v>
      </c>
      <c r="C55" s="74"/>
    </row>
    <row r="56" spans="2:3" ht="18" customHeight="1" x14ac:dyDescent="0.3">
      <c r="B56" s="80" t="s">
        <v>97</v>
      </c>
      <c r="C56" s="74"/>
    </row>
    <row r="57" spans="2:3" ht="18" customHeight="1" x14ac:dyDescent="0.3">
      <c r="B57" s="80"/>
      <c r="C57" s="74"/>
    </row>
    <row r="58" spans="2:3" ht="18" customHeight="1" x14ac:dyDescent="0.3">
      <c r="B58" s="80" t="s">
        <v>208</v>
      </c>
      <c r="C58" s="74"/>
    </row>
    <row r="59" spans="2:3" ht="18" customHeight="1" x14ac:dyDescent="0.3">
      <c r="B59" s="74" t="s">
        <v>209</v>
      </c>
      <c r="C59" s="74"/>
    </row>
    <row r="60" spans="2:3" ht="18" customHeight="1" x14ac:dyDescent="0.3">
      <c r="B60" s="79" t="s">
        <v>210</v>
      </c>
      <c r="C60" s="79"/>
    </row>
    <row r="61" spans="2:3" x14ac:dyDescent="0.3">
      <c r="B61" s="74" t="s">
        <v>97</v>
      </c>
      <c r="C61" s="74"/>
    </row>
    <row r="62" spans="2:3" ht="18" customHeight="1" x14ac:dyDescent="0.3">
      <c r="B62" s="82"/>
      <c r="C62" s="82"/>
    </row>
    <row r="63" spans="2:3" ht="18" customHeight="1" x14ac:dyDescent="0.3">
      <c r="B63" s="83" t="s">
        <v>211</v>
      </c>
      <c r="C63" s="83"/>
    </row>
    <row r="64" spans="2:3" ht="18" customHeight="1" x14ac:dyDescent="0.3">
      <c r="B64" s="84" t="s">
        <v>212</v>
      </c>
      <c r="C64" s="84" t="s">
        <v>28</v>
      </c>
    </row>
    <row r="65" spans="2:3" ht="18" customHeight="1" x14ac:dyDescent="0.3">
      <c r="B65" s="83" t="s">
        <v>171</v>
      </c>
      <c r="C65" s="83" t="s">
        <v>213</v>
      </c>
    </row>
    <row r="66" spans="2:3" ht="18" customHeight="1" x14ac:dyDescent="0.3">
      <c r="B66" s="84" t="s">
        <v>172</v>
      </c>
      <c r="C66" s="84" t="s">
        <v>214</v>
      </c>
    </row>
    <row r="67" spans="2:3" ht="18" customHeight="1" x14ac:dyDescent="0.3">
      <c r="B67" s="83" t="s">
        <v>173</v>
      </c>
      <c r="C67" s="83" t="s">
        <v>215</v>
      </c>
    </row>
    <row r="68" spans="2:3" ht="18" customHeight="1" x14ac:dyDescent="0.3">
      <c r="B68" s="85" t="s">
        <v>174</v>
      </c>
      <c r="C68" s="85" t="s">
        <v>216</v>
      </c>
    </row>
    <row r="69" spans="2:3" ht="18" customHeight="1" x14ac:dyDescent="0.3">
      <c r="B69" s="83" t="s">
        <v>175</v>
      </c>
      <c r="C69" s="83" t="s">
        <v>217</v>
      </c>
    </row>
    <row r="70" spans="2:3" ht="18" customHeight="1" x14ac:dyDescent="0.3">
      <c r="B70" s="74" t="s">
        <v>176</v>
      </c>
      <c r="C70" s="74" t="s">
        <v>218</v>
      </c>
    </row>
    <row r="71" spans="2:3" ht="18" customHeight="1" x14ac:dyDescent="0.3">
      <c r="B71" s="82" t="s">
        <v>177</v>
      </c>
      <c r="C71" s="82" t="s">
        <v>219</v>
      </c>
    </row>
    <row r="72" spans="2:3" ht="18" customHeight="1" x14ac:dyDescent="0.3">
      <c r="B72" s="84"/>
      <c r="C72" s="84"/>
    </row>
    <row r="73" spans="2:3" x14ac:dyDescent="0.3">
      <c r="B73" s="83" t="s">
        <v>220</v>
      </c>
      <c r="C73" s="83"/>
    </row>
    <row r="74" spans="2:3" x14ac:dyDescent="0.3">
      <c r="B74" s="85" t="s">
        <v>221</v>
      </c>
      <c r="C74" s="85" t="s">
        <v>222</v>
      </c>
    </row>
    <row r="75" spans="2:3" x14ac:dyDescent="0.3">
      <c r="B75" s="83" t="s">
        <v>223</v>
      </c>
      <c r="C75" s="83" t="s">
        <v>224</v>
      </c>
    </row>
    <row r="76" spans="2:3" x14ac:dyDescent="0.3">
      <c r="B76" s="84" t="s">
        <v>225</v>
      </c>
      <c r="C76" s="84" t="s">
        <v>226</v>
      </c>
    </row>
    <row r="77" spans="2:3" x14ac:dyDescent="0.3">
      <c r="B77" s="83" t="s">
        <v>227</v>
      </c>
      <c r="C77" s="83" t="s">
        <v>228</v>
      </c>
    </row>
    <row r="78" spans="2:3" x14ac:dyDescent="0.3">
      <c r="B78" s="74" t="s">
        <v>229</v>
      </c>
      <c r="C78" s="74" t="s">
        <v>230</v>
      </c>
    </row>
    <row r="79" spans="2:3" x14ac:dyDescent="0.3">
      <c r="B79" s="74" t="s">
        <v>231</v>
      </c>
      <c r="C79" s="74" t="s">
        <v>232</v>
      </c>
    </row>
    <row r="80" spans="2:3" x14ac:dyDescent="0.3">
      <c r="B80" s="74"/>
      <c r="C80" s="74"/>
    </row>
    <row r="81" spans="2:3" x14ac:dyDescent="0.3">
      <c r="B81" s="74" t="s">
        <v>233</v>
      </c>
      <c r="C81" s="74"/>
    </row>
    <row r="82" spans="2:3" x14ac:dyDescent="0.3">
      <c r="B82" s="74" t="s">
        <v>234</v>
      </c>
      <c r="C82" s="74"/>
    </row>
    <row r="83" spans="2:3" x14ac:dyDescent="0.3">
      <c r="B83" s="74" t="s">
        <v>179</v>
      </c>
      <c r="C83" s="74"/>
    </row>
    <row r="84" spans="2:3" x14ac:dyDescent="0.3">
      <c r="B84" s="79" t="s">
        <v>180</v>
      </c>
      <c r="C84" s="79"/>
    </row>
    <row r="85" spans="2:3" ht="27.6" x14ac:dyDescent="0.3">
      <c r="B85" s="74" t="s">
        <v>235</v>
      </c>
      <c r="C85" s="74"/>
    </row>
    <row r="86" spans="2:3" x14ac:dyDescent="0.3">
      <c r="B86" s="74"/>
      <c r="C86" s="74"/>
    </row>
    <row r="87" spans="2:3" x14ac:dyDescent="0.3">
      <c r="B87" s="74" t="s">
        <v>236</v>
      </c>
      <c r="C87" s="74"/>
    </row>
    <row r="88" spans="2:3" x14ac:dyDescent="0.3">
      <c r="B88" s="80" t="s">
        <v>237</v>
      </c>
      <c r="C88" s="74"/>
    </row>
    <row r="89" spans="2:3" x14ac:dyDescent="0.3">
      <c r="B89" s="80" t="s">
        <v>238</v>
      </c>
      <c r="C89" s="74"/>
    </row>
    <row r="90" spans="2:3" x14ac:dyDescent="0.3">
      <c r="B90" s="80"/>
      <c r="C90" s="74"/>
    </row>
    <row r="91" spans="2:3" x14ac:dyDescent="0.3">
      <c r="B91" s="80" t="s">
        <v>239</v>
      </c>
      <c r="C91" s="74"/>
    </row>
    <row r="92" spans="2:3" x14ac:dyDescent="0.3">
      <c r="B92" s="80" t="s">
        <v>240</v>
      </c>
      <c r="C92" s="74"/>
    </row>
    <row r="93" spans="2:3" x14ac:dyDescent="0.3">
      <c r="B93" s="80" t="s">
        <v>178</v>
      </c>
      <c r="C93" s="74"/>
    </row>
    <row r="94" spans="2:3" x14ac:dyDescent="0.3">
      <c r="B94" s="80"/>
      <c r="C94" s="74"/>
    </row>
    <row r="95" spans="2:3" ht="24.6" x14ac:dyDescent="0.3">
      <c r="B95" s="80" t="s">
        <v>241</v>
      </c>
      <c r="C95" s="74"/>
    </row>
    <row r="96" spans="2:3" ht="24.6" x14ac:dyDescent="0.3">
      <c r="B96" s="80" t="s">
        <v>242</v>
      </c>
      <c r="C96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Control_Panel</vt:lpstr>
      <vt:lpstr>Raw_Data</vt:lpstr>
      <vt:lpstr>Mapping_Config</vt:lpstr>
      <vt:lpstr>Summary</vt:lpstr>
      <vt:lpstr>Python_Code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krishna</dc:creator>
  <cp:lastModifiedBy>k krishna</cp:lastModifiedBy>
  <dcterms:created xsi:type="dcterms:W3CDTF">2026-03-30T19:20:52Z</dcterms:created>
  <dcterms:modified xsi:type="dcterms:W3CDTF">2026-03-30T19:49:37Z</dcterms:modified>
</cp:coreProperties>
</file>